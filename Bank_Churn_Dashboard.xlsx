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DELL\Desktop\Bank chun\"/>
    </mc:Choice>
  </mc:AlternateContent>
  <xr:revisionPtr revIDLastSave="0" documentId="13_ncr:1_{FB37E0DD-FEA8-4D2D-8469-4D65D8FC61B8}" xr6:coauthVersionLast="47" xr6:coauthVersionMax="47" xr10:uidLastSave="{00000000-0000-0000-0000-000000000000}"/>
  <bookViews>
    <workbookView xWindow="-110" yWindow="-110" windowWidth="19420" windowHeight="10300" activeTab="3" xr2:uid="{E135F815-2F84-4011-8B07-9A1E243D1DF8}"/>
  </bookViews>
  <sheets>
    <sheet name="Data" sheetId="1" r:id="rId1"/>
    <sheet name="Analysis_Pivots" sheetId="2" r:id="rId2"/>
    <sheet name="charts" sheetId="3" r:id="rId3"/>
    <sheet name="Dashboard" sheetId="4" r:id="rId4"/>
  </sheets>
  <definedNames>
    <definedName name="Slicer_ActivityStatus">#N/A</definedName>
    <definedName name="Slicer_Gender">#N/A</definedName>
    <definedName name="Slicer_Geography">#N/A</definedName>
  </definedNames>
  <calcPr calcId="191029"/>
  <pivotCaches>
    <pivotCache cacheId="1693" r:id="rId5"/>
    <pivotCache cacheId="1696" r:id="rId6"/>
    <pivotCache cacheId="1699" r:id="rId7"/>
    <pivotCache cacheId="1702" r:id="rId8"/>
    <pivotCache cacheId="1705" r:id="rId9"/>
    <pivotCache cacheId="1708" r:id="rId10"/>
    <pivotCache cacheId="1711" r:id="rId11"/>
  </pivotCaches>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ank_Churn_ce04d485-0094-4f77-82eb-e1b85344d2fc" name="Bank_Churn" connection="Query - Bank_Chur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2" l="1"/>
  <c r="G5" i="2"/>
  <c r="C5" i="2"/>
  <c r="A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1C7D45-6962-4E57-8A5B-15DDE294E41B}" name="Query - Bank_Churn" description="Connection to the 'Bank_Churn' query in the workbook." type="100" refreshedVersion="8" minRefreshableVersion="5">
    <extLst>
      <ext xmlns:x15="http://schemas.microsoft.com/office/spreadsheetml/2010/11/main" uri="{DE250136-89BD-433C-8126-D09CA5730AF9}">
        <x15:connection id="5ae1dd33-79ca-49a0-9818-bb8bc0feaade"/>
      </ext>
    </extLst>
  </connection>
  <connection id="2" xr16:uid="{51DE4AB2-82AC-446C-8316-8D3ED7FC7B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<sst xmlns="http://schemas.openxmlformats.org/spreadsheetml/2006/main" count="31" uniqueCount="20">
  <si>
    <t>Total Customers</t>
  </si>
  <si>
    <t>Total Churn</t>
  </si>
  <si>
    <t>Churn Rate</t>
  </si>
  <si>
    <t>Retained Customers</t>
  </si>
  <si>
    <t>Total Balance</t>
  </si>
  <si>
    <t>Churn Balance Loss</t>
  </si>
  <si>
    <t>Avg Credit Score</t>
  </si>
  <si>
    <t>Row Labels</t>
  </si>
  <si>
    <t>France</t>
  </si>
  <si>
    <t>Grand Total</t>
  </si>
  <si>
    <t>Churn Rate by Geography</t>
  </si>
  <si>
    <t>&lt;30</t>
  </si>
  <si>
    <t>30-39</t>
  </si>
  <si>
    <t>40-49</t>
  </si>
  <si>
    <t>50-59</t>
  </si>
  <si>
    <t>60</t>
  </si>
  <si>
    <t>Churn Rate by Age Group</t>
  </si>
  <si>
    <t>Churn Rate by Product Count</t>
  </si>
  <si>
    <t>Active</t>
  </si>
  <si>
    <t>Churn Rate by Activity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</si>
</sst>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7" formatCode="\€#,##0.0,,\M"/>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9"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9" fontId="0" fillId="0" borderId="0" xfId="2" applyFont="1"/>
    <xf numFmtId="1" fontId="0" fillId="0" borderId="0" xfId="0" applyNumberFormat="1"/>
    <xf numFmtId="164" fontId="0" fillId="0" borderId="0" xfId="0" applyNumberFormat="1"/>
    <xf numFmtId="0" fontId="0" fillId="0" borderId="0" xfId="0" applyNumberFormat="1"/>
    <xf numFmtId="167" fontId="0" fillId="0" borderId="0" xfId="0" applyNumberFormat="1"/>
  </cellXfs>
  <cellStyles count="3">
    <cellStyle name="Comma" xfId="1" builtinId="3"/>
    <cellStyle name="Normal" xfId="0" builtinId="0"/>
    <cellStyle name="Percent" xfId="2" builtinId="5"/>
  </cellStyles>
  <dxfs count="1029">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3" formatCode="0%"/>
    </dxf>
    <dxf>
      <numFmt numFmtId="13" formatCode="0%"/>
    </dxf>
    <dxf>
      <numFmt numFmtId="13" formatCode="0%"/>
    </dxf>
    <dxf>
      <numFmt numFmtId="13" formatCode="0%"/>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3" formatCode="0%"/>
    </dxf>
    <dxf>
      <numFmt numFmtId="165" formatCode="\$#,##0.0,,\M"/>
    </dxf>
    <dxf>
      <numFmt numFmtId="167" formatCode="\€#,##0.0,,\M"/>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67" formatCode="\€#,##0.0,,\M"/>
    </dxf>
    <dxf>
      <numFmt numFmtId="167" formatCode="\€#,##0.0,,\M"/>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3" formatCode="0%"/>
    </dxf>
    <dxf>
      <numFmt numFmtId="13" formatCode="0%"/>
    </dxf>
    <dxf>
      <numFmt numFmtId="165" formatCode="\$#,##0.0,,\M"/>
    </dxf>
    <dxf>
      <numFmt numFmtId="165" formatCode="\$#,##0.0,,\M"/>
    </dxf>
    <dxf>
      <numFmt numFmtId="1"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numFmt numFmtId="13" formatCode="0%"/>
    </dxf>
    <dxf>
      <numFmt numFmtId="13" formatCode="0%"/>
    </dxf>
    <dxf>
      <numFmt numFmtId="164" formatCode="_-* #,##0_-;\-* #,##0_-;_-* &quot;-&quot;??_-;_-@_-"/>
    </dxf>
    <dxf>
      <numFmt numFmtId="164" formatCode="_-* #,##0_-;\-* #,##0_-;_-* &quot;-&quot;??_-;_-@_-"/>
    </dxf>
    <dxf>
      <numFmt numFmtId="164" formatCode="_-* #,##0_-;\-* #,##0_-;_-* &quot;-&quot;??_-;_-@_-"/>
    </dxf>
    <dxf>
      <numFmt numFmtId="164" formatCode="_-* #,##0_-;\-* #,##0_-;_-* &quot;-&quot;??_-;_-@_-"/>
    </dxf>
    <dxf>
      <numFmt numFmtId="1" formatCode="0"/>
    </dxf>
    <dxf>
      <numFmt numFmtId="165" formatCode="\$#,##0.0,,\M"/>
    </dxf>
    <dxf>
      <numFmt numFmtId="13" formatCode="0%"/>
    </dxf>
    <dxf>
      <numFmt numFmtId="13" formatCode="0%"/>
    </dxf>
    <dxf>
      <numFmt numFmtId="13" formatCode="0%"/>
    </dxf>
    <dxf>
      <fill>
        <patternFill>
          <bgColor theme="3" tint="0.499984740745262"/>
        </patternFill>
      </fill>
    </dxf>
    <dxf>
      <font>
        <b/>
        <i val="0"/>
        <u val="none"/>
        <sz val="14"/>
        <color theme="1"/>
        <name val="Aptos Narrow"/>
        <family val="2"/>
        <scheme val="minor"/>
      </font>
      <fill>
        <patternFill>
          <fgColor theme="3" tint="0.499984740745262"/>
          <bgColor theme="3" tint="0.499984740745262"/>
        </patternFill>
      </fill>
    </dxf>
  </dxfs>
  <tableStyles count="1" defaultTableStyle="TableStyleMedium2" defaultPivotStyle="PivotStyleLight16">
    <tableStyle name="Slicer Style 1" pivot="0" table="0" count="2" xr9:uid="{324F8D90-CE56-45DA-9895-0F2A675D58AC}">
      <tableStyleElement type="wholeTable" dxfId="1028"/>
      <tableStyleElement type="headerRow" dxfId="1027"/>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3.xml"/><Relationship Id="rId32" Type="http://schemas.openxmlformats.org/officeDocument/2006/relationships/customXml" Target="../customXml/item11.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23" Type="http://schemas.openxmlformats.org/officeDocument/2006/relationships/customXml" Target="../customXml/item2.xml"/><Relationship Id="rId28" Type="http://schemas.openxmlformats.org/officeDocument/2006/relationships/customXml" Target="../customXml/item7.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[Bank_Churn_Dashboard.xlsx]Analysis_Pivots!PivotTable5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Analysis_Pivots!$D$8</c:f>
              <c:strCache>
                <c:ptCount val="1"/>
                <c:pt idx="0">
                  <c:v>Total</c:v>
                </c:pt>
              </c:strCache>
            </c:strRef>
          </c:tx>
          <c:spPr>
            <a:solidFill>
              <a:schemeClr val="accent1"/>
            </a:solidFill>
            <a:ln>
              <a:noFill/>
            </a:ln>
            <a:effectLst/>
          </c:spPr>
          <c:invertIfNegative val="0"/>
          <c:cat>
            <c:strRef>
              <c:f>Analysis_Pivots!$C$9:$C$10</c:f>
              <c:strCache>
                <c:ptCount val="1"/>
                <c:pt idx="0">
                  <c:v>France</c:v>
                </c:pt>
              </c:strCache>
            </c:strRef>
          </c:cat>
          <c:val>
            <c:numRef>
              <c:f>Analysis_Pivots!$D$9:$D$10</c:f>
              <c:numCache>
                <c:formatCode>0%</c:formatCode>
                <c:ptCount val="1"/>
                <c:pt idx="0">
                  <c:v>0.14802065404475043</c:v>
                </c:pt>
              </c:numCache>
            </c:numRef>
          </c:val>
          <c:extLst>
            <c:ext xmlns:c16="http://schemas.microsoft.com/office/drawing/2014/chart" uri="{C3380CC4-5D6E-409C-BE32-E72D297353CC}">
              <c16:uniqueId val="{00000000-9254-4489-95BA-874C19A6F128}"/>
            </c:ext>
          </c:extLst>
        </c:ser>
        <c:dLbls>
          <c:showLegendKey val="0"/>
          <c:showVal val="0"/>
          <c:showCatName val="0"/>
          <c:showSerName val="0"/>
          <c:showPercent val="0"/>
          <c:showBubbleSize val="0"/>
        </c:dLbls>
        <c:gapWidth val="182"/>
        <c:axId val="860802512"/>
        <c:axId val="860808272"/>
      </c:barChart>
      <c:catAx>
        <c:axId val="86080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808272"/>
        <c:crosses val="autoZero"/>
        <c:auto val="1"/>
        <c:lblAlgn val="ctr"/>
        <c:lblOffset val="100"/>
        <c:noMultiLvlLbl val="0"/>
      </c:catAx>
      <c:valAx>
        <c:axId val="8608082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80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[Bank_Churn_Dashboard.xlsx]Analysis_Pivots!PivotTable6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Analysis_Pivots!$G$8</c:f>
              <c:strCache>
                <c:ptCount val="1"/>
                <c:pt idx="0">
                  <c:v>Total</c:v>
                </c:pt>
              </c:strCache>
            </c:strRef>
          </c:tx>
          <c:spPr>
            <a:solidFill>
              <a:schemeClr val="accent1"/>
            </a:solidFill>
            <a:ln>
              <a:noFill/>
            </a:ln>
            <a:effectLst/>
          </c:spPr>
          <c:invertIfNegative val="0"/>
          <c:cat>
            <c:strRef>
              <c:f>Analysis_Pivots!$F$9:$F$14</c:f>
              <c:strCache>
                <c:ptCount val="5"/>
                <c:pt idx="0">
                  <c:v>50-59</c:v>
                </c:pt>
                <c:pt idx="1">
                  <c:v>40-49</c:v>
                </c:pt>
                <c:pt idx="2">
                  <c:v>60</c:v>
                </c:pt>
                <c:pt idx="3">
                  <c:v>30-39</c:v>
                </c:pt>
                <c:pt idx="4">
                  <c:v>&lt;30</c:v>
                </c:pt>
              </c:strCache>
            </c:strRef>
          </c:cat>
          <c:val>
            <c:numRef>
              <c:f>Analysis_Pivots!$G$9:$G$14</c:f>
              <c:numCache>
                <c:formatCode>0%</c:formatCode>
                <c:ptCount val="5"/>
                <c:pt idx="0">
                  <c:v>0.46078431372549017</c:v>
                </c:pt>
                <c:pt idx="1">
                  <c:v>0.23357664233576642</c:v>
                </c:pt>
                <c:pt idx="2">
                  <c:v>0.1111111111111111</c:v>
                </c:pt>
                <c:pt idx="3">
                  <c:v>8.4710743801652888E-2</c:v>
                </c:pt>
                <c:pt idx="4">
                  <c:v>4.4334975369458129E-2</c:v>
                </c:pt>
              </c:numCache>
            </c:numRef>
          </c:val>
          <c:extLst>
            <c:ext xmlns:c16="http://schemas.microsoft.com/office/drawing/2014/chart" uri="{C3380CC4-5D6E-409C-BE32-E72D297353CC}">
              <c16:uniqueId val="{00000000-AB2B-467A-A8BC-220F71F03736}"/>
            </c:ext>
          </c:extLst>
        </c:ser>
        <c:dLbls>
          <c:showLegendKey val="0"/>
          <c:showVal val="0"/>
          <c:showCatName val="0"/>
          <c:showSerName val="0"/>
          <c:showPercent val="0"/>
          <c:showBubbleSize val="0"/>
        </c:dLbls>
        <c:gapWidth val="219"/>
        <c:axId val="287082128"/>
        <c:axId val="287084528"/>
      </c:barChart>
      <c:catAx>
        <c:axId val="28708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084528"/>
        <c:crosses val="autoZero"/>
        <c:auto val="1"/>
        <c:lblAlgn val="ctr"/>
        <c:lblOffset val="100"/>
        <c:noMultiLvlLbl val="0"/>
      </c:catAx>
      <c:valAx>
        <c:axId val="2870845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08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[Bank_Churn_Dashboard.xlsx]Analysis_Pivots!PivotTable7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Analysis_Pivots!$B$16</c:f>
              <c:strCache>
                <c:ptCount val="1"/>
                <c:pt idx="0">
                  <c:v>Total</c:v>
                </c:pt>
              </c:strCache>
            </c:strRef>
          </c:tx>
          <c:spPr>
            <a:solidFill>
              <a:schemeClr val="accent1"/>
            </a:solidFill>
            <a:ln>
              <a:noFill/>
            </a:ln>
            <a:effectLst/>
          </c:spPr>
          <c:invertIfNegative val="0"/>
          <c:cat>
            <c:strRef>
              <c:f>Analysis_Pivots!$A$17:$A$21</c:f>
              <c:strCache>
                <c:ptCount val="4"/>
                <c:pt idx="0">
                  <c:v>2</c:v>
                </c:pt>
                <c:pt idx="1">
                  <c:v>1</c:v>
                </c:pt>
                <c:pt idx="2">
                  <c:v>3</c:v>
                </c:pt>
                <c:pt idx="3">
                  <c:v>4</c:v>
                </c:pt>
              </c:strCache>
            </c:strRef>
          </c:cat>
          <c:val>
            <c:numRef>
              <c:f>Analysis_Pivots!$B$17:$B$21</c:f>
              <c:numCache>
                <c:formatCode>0%</c:formatCode>
                <c:ptCount val="4"/>
                <c:pt idx="0">
                  <c:v>5.8614564831261103E-2</c:v>
                </c:pt>
                <c:pt idx="1">
                  <c:v>0.19718309859154928</c:v>
                </c:pt>
                <c:pt idx="2">
                  <c:v>0.78947368421052633</c:v>
                </c:pt>
                <c:pt idx="3">
                  <c:v>1</c:v>
                </c:pt>
              </c:numCache>
            </c:numRef>
          </c:val>
          <c:extLst>
            <c:ext xmlns:c16="http://schemas.microsoft.com/office/drawing/2014/chart" uri="{C3380CC4-5D6E-409C-BE32-E72D297353CC}">
              <c16:uniqueId val="{00000000-F0D9-4CA7-BB30-DADD04FE859F}"/>
            </c:ext>
          </c:extLst>
        </c:ser>
        <c:dLbls>
          <c:showLegendKey val="0"/>
          <c:showVal val="0"/>
          <c:showCatName val="0"/>
          <c:showSerName val="0"/>
          <c:showPercent val="0"/>
          <c:showBubbleSize val="0"/>
        </c:dLbls>
        <c:gapWidth val="182"/>
        <c:axId val="860183488"/>
        <c:axId val="860186368"/>
      </c:barChart>
      <c:catAx>
        <c:axId val="860183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186368"/>
        <c:crosses val="autoZero"/>
        <c:auto val="1"/>
        <c:lblAlgn val="ctr"/>
        <c:lblOffset val="100"/>
        <c:noMultiLvlLbl val="0"/>
      </c:catAx>
      <c:valAx>
        <c:axId val="8601863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18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[Bank_Churn_Dashboard.xlsx]Analysis_Pivots!PivotTable8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Analysis_Pivots!$E$17</c:f>
              <c:strCache>
                <c:ptCount val="1"/>
                <c:pt idx="0">
                  <c:v>Total</c:v>
                </c:pt>
              </c:strCache>
            </c:strRef>
          </c:tx>
          <c:spPr>
            <a:solidFill>
              <a:schemeClr val="accent1"/>
            </a:solidFill>
            <a:ln>
              <a:noFill/>
            </a:ln>
            <a:effectLst/>
          </c:spPr>
          <c:invertIfNegative val="0"/>
          <c:cat>
            <c:strRef>
              <c:f>Analysis_Pivots!$D$18:$D$19</c:f>
              <c:strCache>
                <c:ptCount val="1"/>
                <c:pt idx="0">
                  <c:v>Active</c:v>
                </c:pt>
              </c:strCache>
            </c:strRef>
          </c:cat>
          <c:val>
            <c:numRef>
              <c:f>Analysis_Pivots!$E$18:$E$19</c:f>
              <c:numCache>
                <c:formatCode>0%</c:formatCode>
                <c:ptCount val="1"/>
                <c:pt idx="0">
                  <c:v>0.14802065404475043</c:v>
                </c:pt>
              </c:numCache>
            </c:numRef>
          </c:val>
          <c:extLst>
            <c:ext xmlns:c16="http://schemas.microsoft.com/office/drawing/2014/chart" uri="{C3380CC4-5D6E-409C-BE32-E72D297353CC}">
              <c16:uniqueId val="{00000000-95C4-4E50-A496-70072562F844}"/>
            </c:ext>
          </c:extLst>
        </c:ser>
        <c:dLbls>
          <c:showLegendKey val="0"/>
          <c:showVal val="0"/>
          <c:showCatName val="0"/>
          <c:showSerName val="0"/>
          <c:showPercent val="0"/>
          <c:showBubbleSize val="0"/>
        </c:dLbls>
        <c:gapWidth val="182"/>
        <c:axId val="92655280"/>
        <c:axId val="92655760"/>
      </c:barChart>
      <c:catAx>
        <c:axId val="92655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5760"/>
        <c:crosses val="autoZero"/>
        <c:auto val="1"/>
        <c:lblAlgn val="ctr"/>
        <c:lblOffset val="100"/>
        <c:noMultiLvlLbl val="0"/>
      </c:catAx>
      <c:valAx>
        <c:axId val="926557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[Bank_Churn_Dashboard.xlsx]Analysis_Pivots!PivotTable6</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Churn</a:t>
            </a:r>
            <a:r>
              <a:rPr lang="en-US" b="1" baseline="0"/>
              <a:t> Rate by Age Group</a:t>
            </a:r>
            <a:endParaRPr lang="en-US" b="1"/>
          </a:p>
        </c:rich>
      </c:tx>
      <c:layout>
        <c:manualLayout>
          <c:xMode val="edge"/>
          <c:yMode val="edge"/>
          <c:x val="0.266626345619841"/>
          <c:y val="6.764806573091408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19752390982232"/>
          <c:y val="0.19723486712598426"/>
          <c:w val="0.72917279974528837"/>
          <c:h val="0.69208968996062992"/>
        </c:manualLayout>
      </c:layout>
      <c:barChart>
        <c:barDir val="bar"/>
        <c:grouping val="clustered"/>
        <c:varyColors val="0"/>
        <c:ser>
          <c:idx val="0"/>
          <c:order val="0"/>
          <c:tx>
            <c:strRef>
              <c:f>Analysis_Pivots!$G$8</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Analysis_Pivots!$F$9:$F$14</c:f>
              <c:strCache>
                <c:ptCount val="5"/>
                <c:pt idx="0">
                  <c:v>50-59</c:v>
                </c:pt>
                <c:pt idx="1">
                  <c:v>40-49</c:v>
                </c:pt>
                <c:pt idx="2">
                  <c:v>60</c:v>
                </c:pt>
                <c:pt idx="3">
                  <c:v>30-39</c:v>
                </c:pt>
                <c:pt idx="4">
                  <c:v>&lt;30</c:v>
                </c:pt>
              </c:strCache>
            </c:strRef>
          </c:cat>
          <c:val>
            <c:numRef>
              <c:f>Analysis_Pivots!$G$9:$G$14</c:f>
              <c:numCache>
                <c:formatCode>0%</c:formatCode>
                <c:ptCount val="5"/>
                <c:pt idx="0">
                  <c:v>0.46078431372549017</c:v>
                </c:pt>
                <c:pt idx="1">
                  <c:v>0.23357664233576642</c:v>
                </c:pt>
                <c:pt idx="2">
                  <c:v>0.1111111111111111</c:v>
                </c:pt>
                <c:pt idx="3">
                  <c:v>8.4710743801652888E-2</c:v>
                </c:pt>
                <c:pt idx="4">
                  <c:v>4.4334975369458129E-2</c:v>
                </c:pt>
              </c:numCache>
            </c:numRef>
          </c:val>
          <c:extLst>
            <c:ext xmlns:c16="http://schemas.microsoft.com/office/drawing/2014/chart" uri="{C3380CC4-5D6E-409C-BE32-E72D297353CC}">
              <c16:uniqueId val="{00000000-48C0-4D7F-98E6-3D0618C7CC77}"/>
            </c:ext>
          </c:extLst>
        </c:ser>
        <c:dLbls>
          <c:showLegendKey val="0"/>
          <c:showVal val="0"/>
          <c:showCatName val="0"/>
          <c:showSerName val="0"/>
          <c:showPercent val="0"/>
          <c:showBubbleSize val="0"/>
        </c:dLbls>
        <c:gapWidth val="219"/>
        <c:axId val="287082128"/>
        <c:axId val="287084528"/>
      </c:barChart>
      <c:catAx>
        <c:axId val="28708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7084528"/>
        <c:crosses val="autoZero"/>
        <c:auto val="1"/>
        <c:lblAlgn val="ctr"/>
        <c:lblOffset val="100"/>
        <c:noMultiLvlLbl val="0"/>
      </c:catAx>
      <c:valAx>
        <c:axId val="287084528"/>
        <c:scaling>
          <c:orientation val="minMax"/>
        </c:scaling>
        <c:delete val="1"/>
        <c:axPos val="b"/>
        <c:numFmt formatCode="0%" sourceLinked="1"/>
        <c:majorTickMark val="none"/>
        <c:minorTickMark val="none"/>
        <c:tickLblPos val="nextTo"/>
        <c:crossAx val="287082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[Bank_Churn_Dashboard.xlsx]Analysis_Pivots!PivotTable5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Churn</a:t>
            </a:r>
            <a:r>
              <a:rPr lang="en-US" b="1" baseline="0"/>
              <a:t> Rate by Geography</a:t>
            </a:r>
            <a:endParaRPr lang="en-US" b="1"/>
          </a:p>
        </c:rich>
      </c:tx>
      <c:layout>
        <c:manualLayout>
          <c:xMode val="edge"/>
          <c:yMode val="edge"/>
          <c:x val="0.2097744380937154"/>
          <c:y val="2.65983498474174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10562639060978"/>
          <c:y val="0.26669404362732169"/>
          <c:w val="0.77288167659245643"/>
          <c:h val="0.69389669592736303"/>
        </c:manualLayout>
      </c:layout>
      <c:barChart>
        <c:barDir val="bar"/>
        <c:grouping val="clustered"/>
        <c:varyColors val="0"/>
        <c:ser>
          <c:idx val="0"/>
          <c:order val="0"/>
          <c:tx>
            <c:strRef>
              <c:f>Analysis_Pivots!$D$8</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Analysis_Pivots!$C$9:$C$10</c:f>
              <c:strCache>
                <c:ptCount val="1"/>
                <c:pt idx="0">
                  <c:v>France</c:v>
                </c:pt>
              </c:strCache>
            </c:strRef>
          </c:cat>
          <c:val>
            <c:numRef>
              <c:f>Analysis_Pivots!$D$9:$D$10</c:f>
              <c:numCache>
                <c:formatCode>0%</c:formatCode>
                <c:ptCount val="1"/>
                <c:pt idx="0">
                  <c:v>0.14802065404475043</c:v>
                </c:pt>
              </c:numCache>
            </c:numRef>
          </c:val>
          <c:extLst>
            <c:ext xmlns:c16="http://schemas.microsoft.com/office/drawing/2014/chart" uri="{C3380CC4-5D6E-409C-BE32-E72D297353CC}">
              <c16:uniqueId val="{00000000-2B71-416A-9020-0CCE2D050D1F}"/>
            </c:ext>
          </c:extLst>
        </c:ser>
        <c:dLbls>
          <c:dLblPos val="outEnd"/>
          <c:showLegendKey val="0"/>
          <c:showVal val="1"/>
          <c:showCatName val="0"/>
          <c:showSerName val="0"/>
          <c:showPercent val="0"/>
          <c:showBubbleSize val="0"/>
        </c:dLbls>
        <c:gapWidth val="182"/>
        <c:axId val="860802512"/>
        <c:axId val="860808272"/>
      </c:barChart>
      <c:catAx>
        <c:axId val="86080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0808272"/>
        <c:crosses val="autoZero"/>
        <c:auto val="1"/>
        <c:lblAlgn val="ctr"/>
        <c:lblOffset val="100"/>
        <c:noMultiLvlLbl val="0"/>
      </c:catAx>
      <c:valAx>
        <c:axId val="860808272"/>
        <c:scaling>
          <c:orientation val="minMax"/>
        </c:scaling>
        <c:delete val="1"/>
        <c:axPos val="b"/>
        <c:numFmt formatCode="0%" sourceLinked="1"/>
        <c:majorTickMark val="none"/>
        <c:minorTickMark val="none"/>
        <c:tickLblPos val="nextTo"/>
        <c:crossAx val="860802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[Bank_Churn_Dashboard.xlsx]Analysis_Pivots!PivotTable8</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Churn</a:t>
            </a:r>
            <a:r>
              <a:rPr lang="en-US" b="1" baseline="0"/>
              <a:t> Rate by Activity Status</a:t>
            </a:r>
            <a:endParaRPr lang="en-US" b="1"/>
          </a:p>
        </c:rich>
      </c:tx>
      <c:layout>
        <c:manualLayout>
          <c:xMode val="edge"/>
          <c:yMode val="edge"/>
          <c:x val="0.19662957074721782"/>
          <c:y val="9.7440944881889771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83411990035427"/>
          <c:y val="0.22612499999999996"/>
          <c:w val="0.82818972747643427"/>
          <c:h val="0.77387499999999998"/>
        </c:manualLayout>
      </c:layout>
      <c:barChart>
        <c:barDir val="bar"/>
        <c:grouping val="clustered"/>
        <c:varyColors val="0"/>
        <c:ser>
          <c:idx val="0"/>
          <c:order val="0"/>
          <c:tx>
            <c:strRef>
              <c:f>Analysis_Pivots!$E$17</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Analysis_Pivots!$D$18:$D$19</c:f>
              <c:strCache>
                <c:ptCount val="1"/>
                <c:pt idx="0">
                  <c:v>Active</c:v>
                </c:pt>
              </c:strCache>
            </c:strRef>
          </c:cat>
          <c:val>
            <c:numRef>
              <c:f>Analysis_Pivots!$E$18:$E$19</c:f>
              <c:numCache>
                <c:formatCode>0%</c:formatCode>
                <c:ptCount val="1"/>
                <c:pt idx="0">
                  <c:v>0.14802065404475043</c:v>
                </c:pt>
              </c:numCache>
            </c:numRef>
          </c:val>
          <c:extLst>
            <c:ext xmlns:c16="http://schemas.microsoft.com/office/drawing/2014/chart" uri="{C3380CC4-5D6E-409C-BE32-E72D297353CC}">
              <c16:uniqueId val="{00000000-6E11-4E0C-95D9-A0C4AE24CBA0}"/>
            </c:ext>
          </c:extLst>
        </c:ser>
        <c:dLbls>
          <c:dLblPos val="outEnd"/>
          <c:showLegendKey val="0"/>
          <c:showVal val="1"/>
          <c:showCatName val="0"/>
          <c:showSerName val="0"/>
          <c:showPercent val="0"/>
          <c:showBubbleSize val="0"/>
        </c:dLbls>
        <c:gapWidth val="182"/>
        <c:axId val="92655280"/>
        <c:axId val="92655760"/>
      </c:barChart>
      <c:catAx>
        <c:axId val="92655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655760"/>
        <c:crosses val="autoZero"/>
        <c:auto val="1"/>
        <c:lblAlgn val="ctr"/>
        <c:lblOffset val="100"/>
        <c:noMultiLvlLbl val="0"/>
      </c:catAx>
      <c:valAx>
        <c:axId val="92655760"/>
        <c:scaling>
          <c:orientation val="minMax"/>
        </c:scaling>
        <c:delete val="1"/>
        <c:axPos val="b"/>
        <c:numFmt formatCode="0%" sourceLinked="1"/>
        <c:majorTickMark val="none"/>
        <c:minorTickMark val="none"/>
        <c:tickLblPos val="nextTo"/>
        <c:crossAx val="92655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[Bank_Churn_Dashboard.xlsx]Analysis_Pivots!PivotTable7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Churn</a:t>
            </a:r>
            <a:r>
              <a:rPr lang="en-US" b="1" baseline="0"/>
              <a:t> Rate by Number of Products</a:t>
            </a:r>
            <a:endParaRPr lang="en-US" b="1"/>
          </a:p>
        </c:rich>
      </c:tx>
      <c:layout>
        <c:manualLayout>
          <c:xMode val="edge"/>
          <c:yMode val="edge"/>
          <c:x val="0.14615094339622645"/>
          <c:y val="5.16705242217286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60597451091816E-2"/>
          <c:y val="0.23881060752448816"/>
          <c:w val="0.89563871526368477"/>
          <c:h val="0.72875698765100005"/>
        </c:manualLayout>
      </c:layout>
      <c:barChart>
        <c:barDir val="bar"/>
        <c:grouping val="clustered"/>
        <c:varyColors val="0"/>
        <c:ser>
          <c:idx val="0"/>
          <c:order val="0"/>
          <c:tx>
            <c:strRef>
              <c:f>Analysis_Pivots!$B$16</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Analysis_Pivots!$A$17:$A$21</c:f>
              <c:strCache>
                <c:ptCount val="4"/>
                <c:pt idx="0">
                  <c:v>2</c:v>
                </c:pt>
                <c:pt idx="1">
                  <c:v>1</c:v>
                </c:pt>
                <c:pt idx="2">
                  <c:v>3</c:v>
                </c:pt>
                <c:pt idx="3">
                  <c:v>4</c:v>
                </c:pt>
              </c:strCache>
            </c:strRef>
          </c:cat>
          <c:val>
            <c:numRef>
              <c:f>Analysis_Pivots!$B$17:$B$21</c:f>
              <c:numCache>
                <c:formatCode>0%</c:formatCode>
                <c:ptCount val="4"/>
                <c:pt idx="0">
                  <c:v>5.8614564831261103E-2</c:v>
                </c:pt>
                <c:pt idx="1">
                  <c:v>0.19718309859154928</c:v>
                </c:pt>
                <c:pt idx="2">
                  <c:v>0.78947368421052633</c:v>
                </c:pt>
                <c:pt idx="3">
                  <c:v>1</c:v>
                </c:pt>
              </c:numCache>
            </c:numRef>
          </c:val>
          <c:extLst>
            <c:ext xmlns:c16="http://schemas.microsoft.com/office/drawing/2014/chart" uri="{C3380CC4-5D6E-409C-BE32-E72D297353CC}">
              <c16:uniqueId val="{00000000-B82A-4F47-A4F5-99F32E820F2D}"/>
            </c:ext>
          </c:extLst>
        </c:ser>
        <c:dLbls>
          <c:dLblPos val="outEnd"/>
          <c:showLegendKey val="0"/>
          <c:showVal val="1"/>
          <c:showCatName val="0"/>
          <c:showSerName val="0"/>
          <c:showPercent val="0"/>
          <c:showBubbleSize val="0"/>
        </c:dLbls>
        <c:gapWidth val="182"/>
        <c:axId val="860183488"/>
        <c:axId val="860186368"/>
      </c:barChart>
      <c:catAx>
        <c:axId val="860183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186368"/>
        <c:crosses val="autoZero"/>
        <c:auto val="1"/>
        <c:lblAlgn val="ctr"/>
        <c:lblOffset val="100"/>
        <c:noMultiLvlLbl val="0"/>
      </c:catAx>
      <c:valAx>
        <c:axId val="860186368"/>
        <c:scaling>
          <c:orientation val="minMax"/>
        </c:scaling>
        <c:delete val="1"/>
        <c:axPos val="b"/>
        <c:numFmt formatCode="0%" sourceLinked="1"/>
        <c:majorTickMark val="none"/>
        <c:minorTickMark val="none"/>
        <c:tickLblPos val="nextTo"/>
        <c:crossAx val="860183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241300</xdr:colOff>
      <xdr:row>9</xdr:row>
      <xdr:rowOff>158750</xdr:rowOff>
    </xdr:to>
    <xdr:graphicFrame macro="">
      <xdr:nvGraphicFramePr>
        <xdr:cNvPr id="2" name="Chart 1">
          <a:extLst>
            <a:ext uri="{FF2B5EF4-FFF2-40B4-BE49-F238E27FC236}">
              <a16:creationId xmlns:a16="http://schemas.microsoft.com/office/drawing/2014/main" id="{69158D07-6A6A-4DAD-9A00-B7C9C9551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0</xdr:row>
      <xdr:rowOff>0</xdr:rowOff>
    </xdr:from>
    <xdr:to>
      <xdr:col>11</xdr:col>
      <xdr:colOff>209550</xdr:colOff>
      <xdr:row>10</xdr:row>
      <xdr:rowOff>73025</xdr:rowOff>
    </xdr:to>
    <xdr:graphicFrame macro="">
      <xdr:nvGraphicFramePr>
        <xdr:cNvPr id="3" name="Chart 2">
          <a:extLst>
            <a:ext uri="{FF2B5EF4-FFF2-40B4-BE49-F238E27FC236}">
              <a16:creationId xmlns:a16="http://schemas.microsoft.com/office/drawing/2014/main" id="{358D001B-AB00-4DF4-8346-BC6CC033F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0</xdr:rowOff>
    </xdr:from>
    <xdr:to>
      <xdr:col>5</xdr:col>
      <xdr:colOff>317500</xdr:colOff>
      <xdr:row>21</xdr:row>
      <xdr:rowOff>34925</xdr:rowOff>
    </xdr:to>
    <xdr:graphicFrame macro="">
      <xdr:nvGraphicFramePr>
        <xdr:cNvPr id="4" name="Chart 3">
          <a:extLst>
            <a:ext uri="{FF2B5EF4-FFF2-40B4-BE49-F238E27FC236}">
              <a16:creationId xmlns:a16="http://schemas.microsoft.com/office/drawing/2014/main" id="{FF72D308-11F7-4B2D-B46C-E48D849DF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11</xdr:row>
      <xdr:rowOff>0</xdr:rowOff>
    </xdr:from>
    <xdr:to>
      <xdr:col>11</xdr:col>
      <xdr:colOff>209550</xdr:colOff>
      <xdr:row>21</xdr:row>
      <xdr:rowOff>19050</xdr:rowOff>
    </xdr:to>
    <xdr:graphicFrame macro="">
      <xdr:nvGraphicFramePr>
        <xdr:cNvPr id="5" name="Chart 4">
          <a:extLst>
            <a:ext uri="{FF2B5EF4-FFF2-40B4-BE49-F238E27FC236}">
              <a16:creationId xmlns:a16="http://schemas.microsoft.com/office/drawing/2014/main" id="{1FE9333E-389B-4A99-996B-E51E04949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552450</xdr:colOff>
      <xdr:row>23</xdr:row>
      <xdr:rowOff>136524</xdr:rowOff>
    </xdr:to>
    <xdr:grpSp>
      <xdr:nvGrpSpPr>
        <xdr:cNvPr id="2" name="Group 1">
          <a:extLst>
            <a:ext uri="{FF2B5EF4-FFF2-40B4-BE49-F238E27FC236}">
              <a16:creationId xmlns:a16="http://schemas.microsoft.com/office/drawing/2014/main" id="{1A9F9269-00C9-333F-F590-80F95A444A92}"/>
            </a:ext>
          </a:extLst>
        </xdr:cNvPr>
        <xdr:cNvGrpSpPr/>
      </xdr:nvGrpSpPr>
      <xdr:grpSpPr>
        <a:xfrm>
          <a:off x="0" y="0"/>
          <a:ext cx="7867650" cy="4371974"/>
          <a:chOff x="0" y="0"/>
          <a:chExt cx="7867650" cy="4371974"/>
        </a:xfrm>
      </xdr:grpSpPr>
      <xdr:pic>
        <xdr:nvPicPr>
          <xdr:cNvPr id="3" name="Picture 2">
            <a:extLst>
              <a:ext uri="{FF2B5EF4-FFF2-40B4-BE49-F238E27FC236}">
                <a16:creationId xmlns:a16="http://schemas.microsoft.com/office/drawing/2014/main" id="{327C220D-E70C-08B2-766D-F594E865E7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 y="0"/>
            <a:ext cx="7772400" cy="4371974"/>
          </a:xfrm>
          <a:prstGeom prst="rect">
            <a:avLst/>
          </a:prstGeom>
        </xdr:spPr>
      </xdr:pic>
      <xdr:graphicFrame macro="">
        <xdr:nvGraphicFramePr>
          <xdr:cNvPr id="4" name="Chart 3">
            <a:extLst>
              <a:ext uri="{FF2B5EF4-FFF2-40B4-BE49-F238E27FC236}">
                <a16:creationId xmlns:a16="http://schemas.microsoft.com/office/drawing/2014/main" id="{63CD0E00-7EC5-45E1-A22C-D175641BAB8E}"/>
              </a:ext>
            </a:extLst>
          </xdr:cNvPr>
          <xdr:cNvGraphicFramePr>
            <a:graphicFrameLocks/>
          </xdr:cNvGraphicFramePr>
        </xdr:nvGraphicFramePr>
        <xdr:xfrm>
          <a:off x="3784600" y="1657350"/>
          <a:ext cx="4083050" cy="16256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3CDED0EC-83CC-454A-85FC-E62708CBA77B}"/>
              </a:ext>
            </a:extLst>
          </xdr:cNvPr>
          <xdr:cNvGraphicFramePr>
            <a:graphicFrameLocks/>
          </xdr:cNvGraphicFramePr>
        </xdr:nvGraphicFramePr>
        <xdr:xfrm>
          <a:off x="0" y="1727200"/>
          <a:ext cx="3752850" cy="132715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BB211D28-A905-4A47-8268-F1E51A7521E6}"/>
              </a:ext>
            </a:extLst>
          </xdr:cNvPr>
          <xdr:cNvGraphicFramePr>
            <a:graphicFrameLocks/>
          </xdr:cNvGraphicFramePr>
        </xdr:nvGraphicFramePr>
        <xdr:xfrm>
          <a:off x="3771900" y="3314700"/>
          <a:ext cx="3994150" cy="10160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0488B7AF-F4CA-4C33-9A55-F7E34E27A12E}"/>
              </a:ext>
            </a:extLst>
          </xdr:cNvPr>
          <xdr:cNvGraphicFramePr>
            <a:graphicFrameLocks/>
          </xdr:cNvGraphicFramePr>
        </xdr:nvGraphicFramePr>
        <xdr:xfrm>
          <a:off x="12700" y="3175000"/>
          <a:ext cx="3695700" cy="11557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8" name="TextBox 7">
            <a:extLst>
              <a:ext uri="{FF2B5EF4-FFF2-40B4-BE49-F238E27FC236}">
                <a16:creationId xmlns:a16="http://schemas.microsoft.com/office/drawing/2014/main" id="{AF94C044-DE40-D6AE-7877-20DBCE0F31DC}"/>
              </a:ext>
            </a:extLst>
          </xdr:cNvPr>
          <xdr:cNvSpPr txBox="1"/>
        </xdr:nvSpPr>
        <xdr:spPr>
          <a:xfrm>
            <a:off x="0" y="50800"/>
            <a:ext cx="5537200" cy="40640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BANK CUSTOMER CHURN EXECUTIVE DASHBOARD</a:t>
            </a:r>
          </a:p>
        </xdr:txBody>
      </xdr:sp>
      <xdr:sp macro="" textlink="Analysis_Pivots!A5">
        <xdr:nvSpPr>
          <xdr:cNvPr id="9" name="TextBox 8">
            <a:extLst>
              <a:ext uri="{FF2B5EF4-FFF2-40B4-BE49-F238E27FC236}">
                <a16:creationId xmlns:a16="http://schemas.microsoft.com/office/drawing/2014/main" id="{F5F7A485-2289-1EE8-B9E3-1C42993D3C9D}"/>
              </a:ext>
            </a:extLst>
          </xdr:cNvPr>
          <xdr:cNvSpPr txBox="1"/>
        </xdr:nvSpPr>
        <xdr:spPr>
          <a:xfrm>
            <a:off x="482600" y="1244600"/>
            <a:ext cx="1181100" cy="374077"/>
          </a:xfrm>
          <a:prstGeom prst="rect">
            <a:avLst/>
          </a:prstGeom>
          <a:noFill/>
          <a:ln>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E8643FA-DA8F-4694-858F-D54C6950E279}" type="TxLink">
              <a:rPr lang="en-US" sz="1800" b="1" i="0" u="none" strike="noStrike">
                <a:solidFill>
                  <a:srgbClr val="000000"/>
                </a:solidFill>
                <a:latin typeface="Aptos Narrow"/>
              </a:rPr>
              <a:pPr/>
              <a:t> 1,162 </a:t>
            </a:fld>
            <a:endParaRPr lang="en-US" sz="1800" b="1"/>
          </a:p>
        </xdr:txBody>
      </xdr:sp>
      <xdr:sp macro="" textlink="Analysis_Pivots!A5">
        <xdr:nvSpPr>
          <xdr:cNvPr id="10" name="TextBox 9">
            <a:extLst>
              <a:ext uri="{FF2B5EF4-FFF2-40B4-BE49-F238E27FC236}">
                <a16:creationId xmlns:a16="http://schemas.microsoft.com/office/drawing/2014/main" id="{E6A1EFC0-134F-8FFF-0B5F-D1337C7098CC}"/>
              </a:ext>
            </a:extLst>
          </xdr:cNvPr>
          <xdr:cNvSpPr txBox="1"/>
        </xdr:nvSpPr>
        <xdr:spPr>
          <a:xfrm>
            <a:off x="292100" y="996950"/>
            <a:ext cx="18224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Total</a:t>
            </a:r>
            <a:r>
              <a:rPr lang="en-US" sz="1400" b="1" baseline="0"/>
              <a:t> Customers</a:t>
            </a:r>
            <a:endParaRPr lang="en-US" sz="1400" b="1"/>
          </a:p>
        </xdr:txBody>
      </xdr:sp>
      <xdr:sp macro="" textlink="Analysis_Pivots!C5">
        <xdr:nvSpPr>
          <xdr:cNvPr id="11" name="TextBox 10">
            <a:extLst>
              <a:ext uri="{FF2B5EF4-FFF2-40B4-BE49-F238E27FC236}">
                <a16:creationId xmlns:a16="http://schemas.microsoft.com/office/drawing/2014/main" id="{CEA77A55-4C0A-860E-9F73-A876B072B488}"/>
              </a:ext>
            </a:extLst>
          </xdr:cNvPr>
          <xdr:cNvSpPr txBox="1"/>
        </xdr:nvSpPr>
        <xdr:spPr>
          <a:xfrm>
            <a:off x="2590800" y="1257300"/>
            <a:ext cx="1181100" cy="374077"/>
          </a:xfrm>
          <a:prstGeom prst="rect">
            <a:avLst/>
          </a:prstGeom>
          <a:noFill/>
          <a:ln>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63E4221F-67E9-4B90-B054-1379780C21B7}" type="TxLink">
              <a:rPr lang="en-US" sz="1800" b="1" i="0" u="none" strike="noStrike">
                <a:solidFill>
                  <a:srgbClr val="000000"/>
                </a:solidFill>
                <a:latin typeface="Aptos Narrow"/>
                <a:ea typeface="+mn-ea"/>
                <a:cs typeface="+mn-cs"/>
              </a:rPr>
              <a:pPr marL="0" indent="0"/>
              <a:t>15%</a:t>
            </a:fld>
            <a:endParaRPr lang="en-US" sz="1800" b="1" i="0" u="none" strike="noStrike">
              <a:solidFill>
                <a:srgbClr val="000000"/>
              </a:solidFill>
              <a:latin typeface="Aptos Narrow"/>
              <a:ea typeface="+mn-ea"/>
              <a:cs typeface="+mn-cs"/>
            </a:endParaRPr>
          </a:p>
        </xdr:txBody>
      </xdr:sp>
      <xdr:sp macro="" textlink="Analysis_Pivots!F5">
        <xdr:nvSpPr>
          <xdr:cNvPr id="12" name="TextBox 11">
            <a:extLst>
              <a:ext uri="{FF2B5EF4-FFF2-40B4-BE49-F238E27FC236}">
                <a16:creationId xmlns:a16="http://schemas.microsoft.com/office/drawing/2014/main" id="{53F211B9-B75C-CE3A-1826-3A2FD5192625}"/>
              </a:ext>
            </a:extLst>
          </xdr:cNvPr>
          <xdr:cNvSpPr txBox="1"/>
        </xdr:nvSpPr>
        <xdr:spPr>
          <a:xfrm>
            <a:off x="4298950" y="1250950"/>
            <a:ext cx="1181100" cy="374077"/>
          </a:xfrm>
          <a:prstGeom prst="rect">
            <a:avLst/>
          </a:prstGeom>
          <a:noFill/>
          <a:ln>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9D994C1B-C4EE-4336-9FCD-BF6A1D2DA182}" type="TxLink">
              <a:rPr lang="en-US" sz="1800" b="1" i="0" u="none" strike="noStrike">
                <a:solidFill>
                  <a:srgbClr val="000000"/>
                </a:solidFill>
                <a:latin typeface="Aptos Narrow"/>
                <a:ea typeface="+mn-ea"/>
                <a:cs typeface="+mn-cs"/>
              </a:rPr>
              <a:pPr marL="0" indent="0"/>
              <a:t>€11.7M</a:t>
            </a:fld>
            <a:endParaRPr lang="en-US" sz="1800" b="1" i="0" u="none" strike="noStrike">
              <a:solidFill>
                <a:srgbClr val="000000"/>
              </a:solidFill>
              <a:latin typeface="Aptos Narrow"/>
              <a:ea typeface="+mn-ea"/>
              <a:cs typeface="+mn-cs"/>
            </a:endParaRPr>
          </a:p>
        </xdr:txBody>
      </xdr:sp>
      <xdr:sp macro="" textlink="Analysis_Pivots!G5">
        <xdr:nvSpPr>
          <xdr:cNvPr id="13" name="TextBox 12">
            <a:extLst>
              <a:ext uri="{FF2B5EF4-FFF2-40B4-BE49-F238E27FC236}">
                <a16:creationId xmlns:a16="http://schemas.microsoft.com/office/drawing/2014/main" id="{EF820790-EB10-945F-872D-C8BB2E4B7A01}"/>
              </a:ext>
            </a:extLst>
          </xdr:cNvPr>
          <xdr:cNvSpPr txBox="1"/>
        </xdr:nvSpPr>
        <xdr:spPr>
          <a:xfrm>
            <a:off x="6540500" y="1244600"/>
            <a:ext cx="1181100" cy="374077"/>
          </a:xfrm>
          <a:prstGeom prst="rect">
            <a:avLst/>
          </a:prstGeom>
          <a:noFill/>
          <a:ln>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9F1748FF-968F-412A-A983-078F7B4CF882}" type="TxLink">
              <a:rPr lang="en-US" sz="1800" b="1" i="0" u="none" strike="noStrike">
                <a:solidFill>
                  <a:srgbClr val="000000"/>
                </a:solidFill>
                <a:latin typeface="Aptos Narrow"/>
                <a:ea typeface="+mn-ea"/>
                <a:cs typeface="+mn-cs"/>
              </a:rPr>
              <a:pPr marL="0" indent="0"/>
              <a:t>652</a:t>
            </a:fld>
            <a:endParaRPr lang="en-US" sz="1800" b="1" i="0" u="none" strike="noStrike">
              <a:solidFill>
                <a:srgbClr val="000000"/>
              </a:solidFill>
              <a:latin typeface="Aptos Narrow"/>
              <a:ea typeface="+mn-ea"/>
              <a:cs typeface="+mn-cs"/>
            </a:endParaRPr>
          </a:p>
        </xdr:txBody>
      </xdr:sp>
      <xdr:sp macro="" textlink="Analysis_Pivots!A5">
        <xdr:nvSpPr>
          <xdr:cNvPr id="14" name="TextBox 13">
            <a:extLst>
              <a:ext uri="{FF2B5EF4-FFF2-40B4-BE49-F238E27FC236}">
                <a16:creationId xmlns:a16="http://schemas.microsoft.com/office/drawing/2014/main" id="{F453336D-FFB9-468D-D4EE-DA6CD70575E3}"/>
              </a:ext>
            </a:extLst>
          </xdr:cNvPr>
          <xdr:cNvSpPr txBox="1"/>
        </xdr:nvSpPr>
        <xdr:spPr>
          <a:xfrm>
            <a:off x="2057400" y="1016000"/>
            <a:ext cx="18224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1400" b="1">
                <a:solidFill>
                  <a:schemeClr val="tx1"/>
                </a:solidFill>
                <a:latin typeface="+mn-lt"/>
                <a:ea typeface="+mn-ea"/>
                <a:cs typeface="+mn-cs"/>
              </a:rPr>
              <a:t>Overall Churn Rate</a:t>
            </a:r>
          </a:p>
        </xdr:txBody>
      </xdr:sp>
      <xdr:sp macro="" textlink="Analysis_Pivots!A5">
        <xdr:nvSpPr>
          <xdr:cNvPr id="15" name="TextBox 14">
            <a:extLst>
              <a:ext uri="{FF2B5EF4-FFF2-40B4-BE49-F238E27FC236}">
                <a16:creationId xmlns:a16="http://schemas.microsoft.com/office/drawing/2014/main" id="{34834172-379A-9EEA-27F3-98EDA3E74033}"/>
              </a:ext>
            </a:extLst>
          </xdr:cNvPr>
          <xdr:cNvSpPr txBox="1"/>
        </xdr:nvSpPr>
        <xdr:spPr>
          <a:xfrm>
            <a:off x="3975100" y="1009650"/>
            <a:ext cx="18224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1400" b="1">
                <a:solidFill>
                  <a:schemeClr val="tx1"/>
                </a:solidFill>
                <a:latin typeface="+mn-lt"/>
                <a:ea typeface="+mn-ea"/>
                <a:cs typeface="+mn-cs"/>
              </a:rPr>
              <a:t>Churn Capital Loss</a:t>
            </a:r>
          </a:p>
        </xdr:txBody>
      </xdr:sp>
      <xdr:sp macro="" textlink="Analysis_Pivots!A5">
        <xdr:nvSpPr>
          <xdr:cNvPr id="16" name="TextBox 15">
            <a:extLst>
              <a:ext uri="{FF2B5EF4-FFF2-40B4-BE49-F238E27FC236}">
                <a16:creationId xmlns:a16="http://schemas.microsoft.com/office/drawing/2014/main" id="{86FF45E0-C1D8-F376-2F18-A2B46F668660}"/>
              </a:ext>
            </a:extLst>
          </xdr:cNvPr>
          <xdr:cNvSpPr txBox="1"/>
        </xdr:nvSpPr>
        <xdr:spPr>
          <a:xfrm>
            <a:off x="5892800" y="1016000"/>
            <a:ext cx="1822450" cy="323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1400" b="1">
                <a:solidFill>
                  <a:schemeClr val="tx1"/>
                </a:solidFill>
                <a:latin typeface="+mn-lt"/>
                <a:ea typeface="+mn-ea"/>
                <a:cs typeface="+mn-cs"/>
              </a:rPr>
              <a:t>Average Credit Score</a:t>
            </a:r>
          </a:p>
        </xdr:txBody>
      </xdr:sp>
      <mc:AlternateContent xmlns:mc="http://schemas.openxmlformats.org/markup-compatibility/2006">
        <mc:Choice xmlns:a14="http://schemas.microsoft.com/office/drawing/2010/main" Requires="a14">
          <xdr:graphicFrame macro="">
            <xdr:nvGraphicFramePr>
              <xdr:cNvPr id="17" name="Geography">
                <a:extLst>
                  <a:ext uri="{FF2B5EF4-FFF2-40B4-BE49-F238E27FC236}">
                    <a16:creationId xmlns:a16="http://schemas.microsoft.com/office/drawing/2014/main" id="{404DDAE4-FB83-E546-3D89-48C03C9F1669}"/>
                  </a:ext>
                </a:extLst>
              </xdr:cNvPr>
              <xdr:cNvGraphicFramePr/>
            </xdr:nvGraphicFramePr>
            <xdr:xfrm>
              <a:off x="0" y="450850"/>
              <a:ext cx="2851150" cy="48895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0" y="450850"/>
                <a:ext cx="2851150" cy="488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 name="Gender">
                <a:extLst>
                  <a:ext uri="{FF2B5EF4-FFF2-40B4-BE49-F238E27FC236}">
                    <a16:creationId xmlns:a16="http://schemas.microsoft.com/office/drawing/2014/main" id="{E7CB67B4-40ED-66D7-C23B-AC8B00187455}"/>
                  </a:ext>
                </a:extLst>
              </xdr:cNvPr>
              <xdr:cNvGraphicFramePr/>
            </xdr:nvGraphicFramePr>
            <xdr:xfrm>
              <a:off x="2590800" y="463550"/>
              <a:ext cx="1828800" cy="41910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590800" y="463550"/>
                <a:ext cx="1828800" cy="41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9" name="ActivityStatus">
                <a:extLst>
                  <a:ext uri="{FF2B5EF4-FFF2-40B4-BE49-F238E27FC236}">
                    <a16:creationId xmlns:a16="http://schemas.microsoft.com/office/drawing/2014/main" id="{281728A2-4C76-547D-98CF-39BA247DF443}"/>
                  </a:ext>
                </a:extLst>
              </xdr:cNvPr>
              <xdr:cNvGraphicFramePr/>
            </xdr:nvGraphicFramePr>
            <xdr:xfrm>
              <a:off x="4064000" y="469900"/>
              <a:ext cx="1828800" cy="419100"/>
            </xdr:xfrm>
            <a:graphic>
              <a:graphicData uri="http://schemas.microsoft.com/office/drawing/2010/slicer">
                <sle:slicer xmlns:sle="http://schemas.microsoft.com/office/drawing/2010/slicer" name="ActivityStatus"/>
              </a:graphicData>
            </a:graphic>
          </xdr:graphicFrame>
        </mc:Choice>
        <mc:Fallback>
          <xdr:sp macro="" textlink="">
            <xdr:nvSpPr>
              <xdr:cNvPr id="0" name=""/>
              <xdr:cNvSpPr>
                <a:spLocks noTextEdit="1"/>
              </xdr:cNvSpPr>
            </xdr:nvSpPr>
            <xdr:spPr>
              <a:xfrm>
                <a:off x="4064000" y="469900"/>
                <a:ext cx="1828800" cy="41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31" name="Picture 30" descr="Bitcoin ">
            <a:extLst>
              <a:ext uri="{FF2B5EF4-FFF2-40B4-BE49-F238E27FC236}">
                <a16:creationId xmlns:a16="http://schemas.microsoft.com/office/drawing/2014/main" id="{334527E7-8BE7-037D-A2F3-7673FE8EF3A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145178" y="1379"/>
            <a:ext cx="1373807" cy="97044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6.364746064814" backgroundQuery="1" createdVersion="8" refreshedVersion="8" minRefreshableVersion="3" recordCount="0" supportSubquery="1" supportAdvancedDrill="1" xr:uid="{49660B4E-E64A-4E2C-820B-E98A535338BA}">
  <cacheSource type="external" connectionId="2"/>
  <cacheFields count="4">
    <cacheField name="[Bank_Churn].[Geography].[Geography]" caption="Geography" numFmtId="0" hierarchy="3" level="1">
      <sharedItems count="1">
        <s v="France"/>
      </sharedItems>
    </cacheField>
    <cacheField name="[Measures].[Average of Exited]" caption="Average of Exited" numFmtId="0" hierarchy="25" level="32767"/>
    <cacheField name="[Bank_Churn].[Gender].[Gender]" caption="Gender" numFmtId="0" hierarchy="4" level="1">
      <sharedItems containsSemiMixedTypes="0" containsNonDate="0" containsString="0"/>
    </cacheField>
    <cacheField name="[Bank_Churn].[ActivityStatus].[ActivityStatus]" caption="ActivityStatus" numFmtId="0" hierarchy="14" level="1">
      <sharedItems containsSemiMixedTypes="0" containsNonDate="0" containsString="0"/>
    </cacheField>
  </cacheFields>
  <cacheHierarchies count="26">
    <cacheHierarchy uniqueName="[Bank_Churn].[CustomerId]" caption="CustomerId" attribute="1" defaultMemberUniqueName="[Bank_Churn].[CustomerId].[All]" allUniqueName="[Bank_Churn].[CustomerId].[All]" dimensionUniqueName="[Bank_Churn]" displayFolder="" count="2" memberValueDatatype="20" unbalanced="0"/>
    <cacheHierarchy uniqueName="[Bank_Churn].[Surname]" caption="Surname" attribute="1" defaultMemberUniqueName="[Bank_Churn].[Surname].[All]" allUniqueName="[Bank_Churn].[Surname].[All]" dimensionUniqueName="[Bank_Churn]" displayFolder="" count="2" memberValueDatatype="130" unbalanced="0"/>
    <cacheHierarchy uniqueName="[Bank_Churn].[CreditScore]" caption="CreditScore" attribute="1" defaultMemberUniqueName="[Bank_Churn].[CreditScore].[All]" allUniqueName="[Bank_Churn].[CreditScore].[All]" dimensionUniqueName="[Bank_Churn]" displayFolder="" count="2"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2" memberValueDatatype="130" unbalanced="0">
      <fieldsUsage count="2">
        <fieldUsage x="-1"/>
        <fieldUsage x="2"/>
      </fieldsUsage>
    </cacheHierarchy>
    <cacheHierarchy uniqueName="[Bank_Churn].[Age]" caption="Age" attribute="1" defaultMemberUniqueName="[Bank_Churn].[Age].[All]" allUniqueName="[Bank_Churn].[Age].[All]" dimensionUniqueName="[Bank_Churn]" displayFolder="" count="2" memberValueDatatype="20" unbalanced="0"/>
    <cacheHierarchy uniqueName="[Bank_Churn].[Tenure]" caption="Tenure" attribute="1" defaultMemberUniqueName="[Bank_Churn].[Tenure].[All]" allUniqueName="[Bank_Churn].[Tenure].[All]" dimensionUniqueName="[Bank_Churn]" displayFolder="" count="2" memberValueDatatype="20" unbalanced="0"/>
    <cacheHierarchy uniqueName="[Bank_Churn].[Balance]" caption="Balance" attribute="1" defaultMemberUniqueName="[Bank_Churn].[Balance].[All]" allUniqueName="[Bank_Churn].[Balance].[All]" dimensionUniqueName="[Bank_Churn]" displayFolder="" count="2"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2" memberValueDatatype="20" unbalanced="0"/>
    <cacheHierarchy uniqueName="[Bank_Churn].[IsActiveMember]" caption="IsActiveMember" attribute="1" defaultMemberUniqueName="[Bank_Churn].[IsActiveMember].[All]" allUniqueName="[Bank_Churn].[IsActiveMember].[All]" dimensionUniqueName="[Bank_Churn]" displayFolder="" count="2" memberValueDatatype="20" unbalanced="0"/>
    <cacheHierarchy uniqueName="[Bank_Churn].[EstimatedSalary]" caption="EstimatedSalary" attribute="1" defaultMemberUniqueName="[Bank_Churn].[EstimatedSalary].[All]" allUniqueName="[Bank_Churn].[EstimatedSalary].[All]" dimensionUniqueName="[Bank_Churn]" displayFolder="" count="2" memberValueDatatype="5" unbalanced="0"/>
    <cacheHierarchy uniqueName="[Bank_Churn].[Exited]" caption="Exited" attribute="1" defaultMemberUniqueName="[Bank_Churn].[Exited].[All]" allUniqueName="[Bank_Churn].[Exited].[All]" dimensionUniqueName="[Bank_Churn]" displayFolder="" count="2" memberValueDatatype="20" unbalanced="0"/>
    <cacheHierarchy uniqueName="[Bank_Churn].[AgeGroup]" caption="AgeGroup" attribute="1" defaultMemberUniqueName="[Bank_Churn].[AgeGroup].[All]" allUniqueName="[Bank_Churn].[AgeGroup].[All]" dimensionUniqueName="[Bank_Churn]" displayFolder="" count="2" memberValueDatatype="130" unbalanced="0"/>
    <cacheHierarchy uniqueName="[Bank_Churn].[ActivityStatus]" caption="ActivityStatus" attribute="1" defaultMemberUniqueName="[Bank_Churn].[ActivityStatus].[All]" allUniqueName="[Bank_Churn].[ActivityStatus].[All]" dimensionUniqueName="[Bank_Churn]" displayFolder="" count="2" memberValueDatatype="130" unbalanced="0">
      <fieldsUsage count="2">
        <fieldUsage x="-1"/>
        <fieldUsage x="3"/>
      </fieldsUsage>
    </cacheHierarchy>
    <cacheHierarchy uniqueName="[Measures].[Total Customers]" caption="Total Customers" measure="1" displayFolder="" measureGroup="Bank_Churn" count="0"/>
    <cacheHierarchy uniqueName="[Measures].[Total Churn]" caption="Total Churn" measure="1" displayFolder="" measureGroup="Bank_Churn" count="0"/>
    <cacheHierarchy uniqueName="[Measures].[Churn Rate]" caption="Churn Rate" measure="1" displayFolder="" measureGroup="Bank_Churn" count="0"/>
    <cacheHierarchy uniqueName="[Measures].[Retained Customers]" caption="Retained Customers" measure="1" displayFolder="" measureGroup="Bank_Churn" count="0"/>
    <cacheHierarchy uniqueName="[Measures].[Total Balance]" caption="Total Balance" measure="1" displayFolder="" measureGroup="Bank_Churn" count="0"/>
    <cacheHierarchy uniqueName="[Measures].[Churn Balance Loss]" caption="Churn Balance Loss" measure="1" displayFolder="" measureGroup="Bank_Churn" count="0"/>
    <cacheHierarchy uniqueName="[Measures].[Avg Credit Score]" caption="Avg Credit Score" measure="1" displayFolder="" measureGroup="Bank_Churn" count="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Average of Exited]" caption="Average of Exited" measure="1" displayFolder="" measureGroup="Bank_Churn"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6.364746412037" backgroundQuery="1" createdVersion="8" refreshedVersion="8" minRefreshableVersion="3" recordCount="0" supportSubquery="1" supportAdvancedDrill="1" xr:uid="{55A626F1-9710-4E7D-8B22-C5BCCB293205}">
  <cacheSource type="external" connectionId="2"/>
  <cacheFields count="3">
    <cacheField name="[Bank_Churn].[Geography].[Geography]" caption="Geography" numFmtId="0" hierarchy="3" level="1">
      <sharedItems containsSemiMixedTypes="0" containsNonDate="0" containsString="0"/>
    </cacheField>
    <cacheField name="[Bank_Churn].[Gender].[Gender]" caption="Gender" numFmtId="0" hierarchy="4" level="1">
      <sharedItems containsSemiMixedTypes="0" containsNonDate="0" containsString="0"/>
    </cacheField>
    <cacheField name="[Bank_Churn].[ActivityStatus].[ActivityStatus]" caption="ActivityStatus" numFmtId="0" hierarchy="14" level="1">
      <sharedItems containsSemiMixedTypes="0" containsNonDate="0" containsString="0"/>
    </cacheField>
  </cacheFields>
  <cacheHierarchies count="26">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2" memberValueDatatype="130" unbalanced="0">
      <fieldsUsage count="2">
        <fieldUsage x="-1"/>
        <fieldUsage x="1"/>
      </fieldsUsage>
    </cacheHierarchy>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Group]" caption="AgeGroup" attribute="1" defaultMemberUniqueName="[Bank_Churn].[AgeGroup].[All]" allUniqueName="[Bank_Churn].[AgeGroup].[All]" dimensionUniqueName="[Bank_Churn]" displayFolder="" count="0" memberValueDatatype="130" unbalanced="0"/>
    <cacheHierarchy uniqueName="[Bank_Churn].[ActivityStatus]" caption="ActivityStatus" attribute="1" defaultMemberUniqueName="[Bank_Churn].[ActivityStatus].[All]" allUniqueName="[Bank_Churn].[ActivityStatus].[All]" dimensionUniqueName="[Bank_Churn]" displayFolder="" count="2" memberValueDatatype="130" unbalanced="0">
      <fieldsUsage count="2">
        <fieldUsage x="-1"/>
        <fieldUsage x="2"/>
      </fieldsUsage>
    </cacheHierarchy>
    <cacheHierarchy uniqueName="[Measures].[Total Customers]" caption="Total Customers" measure="1" displayFolder="" measureGroup="Bank_Churn" count="0"/>
    <cacheHierarchy uniqueName="[Measures].[Total Churn]" caption="Total Churn" measure="1" displayFolder="" measureGroup="Bank_Churn" count="0"/>
    <cacheHierarchy uniqueName="[Measures].[Churn Rate]" caption="Churn Rate" measure="1" displayFolder="" measureGroup="Bank_Churn" count="0"/>
    <cacheHierarchy uniqueName="[Measures].[Retained Customers]" caption="Retained Customers" measure="1" displayFolder="" measureGroup="Bank_Churn" count="0"/>
    <cacheHierarchy uniqueName="[Measures].[Total Balance]" caption="Total Balance" measure="1" displayFolder="" measureGroup="Bank_Churn" count="0"/>
    <cacheHierarchy uniqueName="[Measures].[Churn Balance Loss]" caption="Churn Balance Loss" measure="1" displayFolder="" measureGroup="Bank_Churn" count="0"/>
    <cacheHierarchy uniqueName="[Measures].[Avg Credit Score]" caption="Avg Credit Score" measure="1" displayFolder="" measureGroup="Bank_Churn" count="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Average of Exited]" caption="Average of Exited" measure="1" displayFolder="" measureGroup="Bank_Churn" count="0" hidden="1">
      <extLst>
        <ext xmlns:x15="http://schemas.microsoft.com/office/spreadsheetml/2010/11/main" uri="{B97F6D7D-B522-45F9-BDA1-12C45D357490}">
          <x15:cacheHierarchy aggregatedColumn="12"/>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6.364746990737" backgroundQuery="1" createdVersion="8" refreshedVersion="8" minRefreshableVersion="3" recordCount="0" supportSubquery="1" supportAdvancedDrill="1" xr:uid="{464D66D4-4076-460B-AE31-3C8675327A8A}">
  <cacheSource type="external" connectionId="2"/>
  <cacheFields count="10">
    <cacheField name="[Measures].[Total Customers]" caption="Total Customers" numFmtId="0" hierarchy="15" level="32767"/>
    <cacheField name="[Measures].[Total Churn]" caption="Total Churn" numFmtId="0" hierarchy="16" level="32767"/>
    <cacheField name="[Measures].[Churn Rate]" caption="Churn Rate" numFmtId="0" hierarchy="17" level="32767"/>
    <cacheField name="[Measures].[Retained Customers]" caption="Retained Customers" numFmtId="0" hierarchy="18" level="32767"/>
    <cacheField name="[Measures].[Total Balance]" caption="Total Balance" numFmtId="0" hierarchy="19" level="32767"/>
    <cacheField name="[Measures].[Churn Balance Loss]" caption="Churn Balance Loss" numFmtId="0" hierarchy="20" level="32767"/>
    <cacheField name="[Measures].[Avg Credit Score]" caption="Avg Credit Score" numFmtId="0" hierarchy="21" level="32767"/>
    <cacheField name="[Bank_Churn].[Geography].[Geography]" caption="Geography" numFmtId="0" hierarchy="3" level="1">
      <sharedItems containsSemiMixedTypes="0" containsNonDate="0" containsString="0"/>
    </cacheField>
    <cacheField name="[Bank_Churn].[Gender].[Gender]" caption="Gender" numFmtId="0" hierarchy="4" level="1">
      <sharedItems containsSemiMixedTypes="0" containsNonDate="0" containsString="0"/>
    </cacheField>
    <cacheField name="[Bank_Churn].[ActivityStatus].[ActivityStatus]" caption="ActivityStatus" numFmtId="0" hierarchy="14" level="1">
      <sharedItems containsSemiMixedTypes="0" containsNonDate="0" containsString="0"/>
    </cacheField>
  </cacheFields>
  <cacheHierarchies count="26">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7"/>
      </fieldsUsage>
    </cacheHierarchy>
    <cacheHierarchy uniqueName="[Bank_Churn].[Gender]" caption="Gender" attribute="1" defaultMemberUniqueName="[Bank_Churn].[Gender].[All]" allUniqueName="[Bank_Churn].[Gender].[All]" dimensionUniqueName="[Bank_Churn]" displayFolder="" count="2" memberValueDatatype="130" unbalanced="0">
      <fieldsUsage count="2">
        <fieldUsage x="-1"/>
        <fieldUsage x="8"/>
      </fieldsUsage>
    </cacheHierarchy>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Group]" caption="AgeGroup" attribute="1" defaultMemberUniqueName="[Bank_Churn].[AgeGroup].[All]" allUniqueName="[Bank_Churn].[AgeGroup].[All]" dimensionUniqueName="[Bank_Churn]" displayFolder="" count="0" memberValueDatatype="130" unbalanced="0"/>
    <cacheHierarchy uniqueName="[Bank_Churn].[ActivityStatus]" caption="ActivityStatus" attribute="1" defaultMemberUniqueName="[Bank_Churn].[ActivityStatus].[All]" allUniqueName="[Bank_Churn].[ActivityStatus].[All]" dimensionUniqueName="[Bank_Churn]" displayFolder="" count="2" memberValueDatatype="130" unbalanced="0">
      <fieldsUsage count="2">
        <fieldUsage x="-1"/>
        <fieldUsage x="9"/>
      </fieldsUsage>
    </cacheHierarchy>
    <cacheHierarchy uniqueName="[Measures].[Total Customers]" caption="Total Customers" measure="1" displayFolder="" measureGroup="Bank_Churn" count="0" oneField="1">
      <fieldsUsage count="1">
        <fieldUsage x="0"/>
      </fieldsUsage>
    </cacheHierarchy>
    <cacheHierarchy uniqueName="[Measures].[Total Churn]" caption="Total Churn" measure="1" displayFolder="" measureGroup="Bank_Churn" count="0" oneField="1">
      <fieldsUsage count="1">
        <fieldUsage x="1"/>
      </fieldsUsage>
    </cacheHierarchy>
    <cacheHierarchy uniqueName="[Measures].[Churn Rate]" caption="Churn Rate" measure="1" displayFolder="" measureGroup="Bank_Churn" count="0" oneField="1">
      <fieldsUsage count="1">
        <fieldUsage x="2"/>
      </fieldsUsage>
    </cacheHierarchy>
    <cacheHierarchy uniqueName="[Measures].[Retained Customers]" caption="Retained Customers" measure="1" displayFolder="" measureGroup="Bank_Churn" count="0" oneField="1">
      <fieldsUsage count="1">
        <fieldUsage x="3"/>
      </fieldsUsage>
    </cacheHierarchy>
    <cacheHierarchy uniqueName="[Measures].[Total Balance]" caption="Total Balance" measure="1" displayFolder="" measureGroup="Bank_Churn" count="0" oneField="1">
      <fieldsUsage count="1">
        <fieldUsage x="4"/>
      </fieldsUsage>
    </cacheHierarchy>
    <cacheHierarchy uniqueName="[Measures].[Churn Balance Loss]" caption="Churn Balance Loss" measure="1" displayFolder="" measureGroup="Bank_Churn" count="0" oneField="1">
      <fieldsUsage count="1">
        <fieldUsage x="5"/>
      </fieldsUsage>
    </cacheHierarchy>
    <cacheHierarchy uniqueName="[Measures].[Avg Credit Score]" caption="Avg Credit Score" measure="1" displayFolder="" measureGroup="Bank_Churn" count="0" oneField="1">
      <fieldsUsage count="1">
        <fieldUsage x="6"/>
      </fieldsUsage>
    </cacheHierarchy>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Average of Exited]" caption="Average of Exited" measure="1" displayFolder="" measureGroup="Bank_Churn" count="0" hidden="1">
      <extLst>
        <ext xmlns:x15="http://schemas.microsoft.com/office/spreadsheetml/2010/11/main" uri="{B97F6D7D-B522-45F9-BDA1-12C45D357490}">
          <x15:cacheHierarchy aggregatedColumn="12"/>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6.364747569445" backgroundQuery="1" createdVersion="8" refreshedVersion="8" minRefreshableVersion="3" recordCount="0" supportSubquery="1" supportAdvancedDrill="1" xr:uid="{C00BCA79-7B2A-43C4-BA13-3B65DED0950D}">
  <cacheSource type="external" connectionId="2"/>
  <cacheFields count="4">
    <cacheField name="[Measures].[Average of Exited]" caption="Average of Exited" numFmtId="0" hierarchy="25" level="32767"/>
    <cacheField name="[Bank_Churn].[Geography].[Geography]" caption="Geography" numFmtId="0" hierarchy="3" level="1">
      <sharedItems containsSemiMixedTypes="0" containsNonDate="0" containsString="0"/>
    </cacheField>
    <cacheField name="[Bank_Churn].[Gender].[Gender]" caption="Gender" numFmtId="0" hierarchy="4" level="1">
      <sharedItems containsSemiMixedTypes="0" containsNonDate="0" containsString="0"/>
    </cacheField>
    <cacheField name="[Bank_Churn].[ActivityStatus].[ActivityStatus]" caption="ActivityStatus" numFmtId="0" hierarchy="14" level="1">
      <sharedItems containsSemiMixedTypes="0" containsNonDate="0" containsString="0"/>
    </cacheField>
  </cacheFields>
  <cacheHierarchies count="26">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1"/>
      </fieldsUsage>
    </cacheHierarchy>
    <cacheHierarchy uniqueName="[Bank_Churn].[Gender]" caption="Gender" attribute="1" defaultMemberUniqueName="[Bank_Churn].[Gender].[All]" allUniqueName="[Bank_Churn].[Gender].[All]" dimensionUniqueName="[Bank_Churn]" displayFolder="" count="2" memberValueDatatype="130" unbalanced="0">
      <fieldsUsage count="2">
        <fieldUsage x="-1"/>
        <fieldUsage x="2"/>
      </fieldsUsage>
    </cacheHierarchy>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Group]" caption="AgeGroup" attribute="1" defaultMemberUniqueName="[Bank_Churn].[AgeGroup].[All]" allUniqueName="[Bank_Churn].[AgeGroup].[All]" dimensionUniqueName="[Bank_Churn]" displayFolder="" count="0" memberValueDatatype="130" unbalanced="0"/>
    <cacheHierarchy uniqueName="[Bank_Churn].[ActivityStatus]" caption="ActivityStatus" attribute="1" defaultMemberUniqueName="[Bank_Churn].[ActivityStatus].[All]" allUniqueName="[Bank_Churn].[ActivityStatus].[All]" dimensionUniqueName="[Bank_Churn]" displayFolder="" count="2" memberValueDatatype="130" unbalanced="0">
      <fieldsUsage count="2">
        <fieldUsage x="-1"/>
        <fieldUsage x="3"/>
      </fieldsUsage>
    </cacheHierarchy>
    <cacheHierarchy uniqueName="[Measures].[Total Customers]" caption="Total Customers" measure="1" displayFolder="" measureGroup="Bank_Churn" count="0"/>
    <cacheHierarchy uniqueName="[Measures].[Total Churn]" caption="Total Churn" measure="1" displayFolder="" measureGroup="Bank_Churn" count="0"/>
    <cacheHierarchy uniqueName="[Measures].[Churn Rate]" caption="Churn Rate" measure="1" displayFolder="" measureGroup="Bank_Churn" count="0"/>
    <cacheHierarchy uniqueName="[Measures].[Retained Customers]" caption="Retained Customers" measure="1" displayFolder="" measureGroup="Bank_Churn" count="0"/>
    <cacheHierarchy uniqueName="[Measures].[Total Balance]" caption="Total Balance" measure="1" displayFolder="" measureGroup="Bank_Churn" count="0"/>
    <cacheHierarchy uniqueName="[Measures].[Churn Balance Loss]" caption="Churn Balance Loss" measure="1" displayFolder="" measureGroup="Bank_Churn" count="0"/>
    <cacheHierarchy uniqueName="[Measures].[Avg Credit Score]" caption="Avg Credit Score" measure="1" displayFolder="" measureGroup="Bank_Churn" count="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Average of Exited]" caption="Average of Exited" measure="1" displayFolder="" measureGroup="Bank_Churn"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6.364748263892" backgroundQuery="1" createdVersion="8" refreshedVersion="8" minRefreshableVersion="3" recordCount="0" supportSubquery="1" supportAdvancedDrill="1" xr:uid="{24D9B487-8D72-4059-A183-3DB0CE68069B}">
  <cacheSource type="external" connectionId="2"/>
  <cacheFields count="5">
    <cacheField name="[Measures].[Average of Exited]" caption="Average of Exited" numFmtId="0" hierarchy="25" level="32767"/>
    <cacheField name="[Bank_Churn].[AgeGroup].[AgeGroup]" caption="AgeGroup" numFmtId="0" hierarchy="13" level="1">
      <sharedItems count="5">
        <s v="&lt;30"/>
        <s v="30-39"/>
        <s v="40-49"/>
        <s v="50-59"/>
        <s v="60"/>
      </sharedItems>
    </cacheField>
    <cacheField name="[Bank_Churn].[Geography].[Geography]" caption="Geography" numFmtId="0" hierarchy="3" level="1">
      <sharedItems containsSemiMixedTypes="0" containsNonDate="0" containsString="0"/>
    </cacheField>
    <cacheField name="[Bank_Churn].[Gender].[Gender]" caption="Gender" numFmtId="0" hierarchy="4" level="1">
      <sharedItems containsSemiMixedTypes="0" containsNonDate="0" containsString="0"/>
    </cacheField>
    <cacheField name="[Bank_Churn].[ActivityStatus].[ActivityStatus]" caption="ActivityStatus" numFmtId="0" hierarchy="14" level="1">
      <sharedItems containsSemiMixedTypes="0" containsNonDate="0" containsString="0"/>
    </cacheField>
  </cacheFields>
  <cacheHierarchies count="26">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2"/>
      </fieldsUsage>
    </cacheHierarchy>
    <cacheHierarchy uniqueName="[Bank_Churn].[Gender]" caption="Gender" attribute="1" defaultMemberUniqueName="[Bank_Churn].[Gender].[All]" allUniqueName="[Bank_Churn].[Gender].[All]" dimensionUniqueName="[Bank_Churn]" displayFolder="" count="2" memberValueDatatype="130" unbalanced="0">
      <fieldsUsage count="2">
        <fieldUsage x="-1"/>
        <fieldUsage x="3"/>
      </fieldsUsage>
    </cacheHierarchy>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Group]" caption="AgeGroup" attribute="1" defaultMemberUniqueName="[Bank_Churn].[AgeGroup].[All]" allUniqueName="[Bank_Churn].[AgeGroup].[All]" dimensionUniqueName="[Bank_Churn]" displayFolder="" count="2" memberValueDatatype="130" unbalanced="0">
      <fieldsUsage count="2">
        <fieldUsage x="-1"/>
        <fieldUsage x="1"/>
      </fieldsUsage>
    </cacheHierarchy>
    <cacheHierarchy uniqueName="[Bank_Churn].[ActivityStatus]" caption="ActivityStatus" attribute="1" defaultMemberUniqueName="[Bank_Churn].[ActivityStatus].[All]" allUniqueName="[Bank_Churn].[ActivityStatus].[All]" dimensionUniqueName="[Bank_Churn]" displayFolder="" count="2" memberValueDatatype="130" unbalanced="0">
      <fieldsUsage count="2">
        <fieldUsage x="-1"/>
        <fieldUsage x="4"/>
      </fieldsUsage>
    </cacheHierarchy>
    <cacheHierarchy uniqueName="[Measures].[Total Customers]" caption="Total Customers" measure="1" displayFolder="" measureGroup="Bank_Churn" count="0"/>
    <cacheHierarchy uniqueName="[Measures].[Total Churn]" caption="Total Churn" measure="1" displayFolder="" measureGroup="Bank_Churn" count="0"/>
    <cacheHierarchy uniqueName="[Measures].[Churn Rate]" caption="Churn Rate" measure="1" displayFolder="" measureGroup="Bank_Churn" count="0"/>
    <cacheHierarchy uniqueName="[Measures].[Retained Customers]" caption="Retained Customers" measure="1" displayFolder="" measureGroup="Bank_Churn" count="0"/>
    <cacheHierarchy uniqueName="[Measures].[Total Balance]" caption="Total Balance" measure="1" displayFolder="" measureGroup="Bank_Churn" count="0"/>
    <cacheHierarchy uniqueName="[Measures].[Churn Balance Loss]" caption="Churn Balance Loss" measure="1" displayFolder="" measureGroup="Bank_Churn" count="0"/>
    <cacheHierarchy uniqueName="[Measures].[Avg Credit Score]" caption="Avg Credit Score" measure="1" displayFolder="" measureGroup="Bank_Churn" count="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Average of Exited]" caption="Average of Exited" measure="1" displayFolder="" measureGroup="Bank_Churn"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6.364748958331" backgroundQuery="1" createdVersion="8" refreshedVersion="8" minRefreshableVersion="3" recordCount="0" supportSubquery="1" supportAdvancedDrill="1" xr:uid="{FD5097D2-969B-4379-B6DB-4D0689866F76}">
  <cacheSource type="external" connectionId="2"/>
  <cacheFields count="5">
    <cacheField name="[Measures].[Average of Exited]" caption="Average of Exited" numFmtId="0" hierarchy="25" level="32767"/>
    <cacheField name="[Bank_Churn].[NumOfProducts].[NumOfProducts]" caption="NumOfProducts" numFmtId="0" hierarchy="8"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Bank_Churn].[NumOfProducts].&amp;[1]"/>
            <x15:cachedUniqueName index="1" name="[Bank_Churn].[NumOfProducts].&amp;[2]"/>
            <x15:cachedUniqueName index="2" name="[Bank_Churn].[NumOfProducts].&amp;[3]"/>
            <x15:cachedUniqueName index="3" name="[Bank_Churn].[NumOfProducts].&amp;[4]"/>
          </x15:cachedUniqueNames>
        </ext>
      </extLst>
    </cacheField>
    <cacheField name="[Bank_Churn].[Geography].[Geography]" caption="Geography" numFmtId="0" hierarchy="3" level="1">
      <sharedItems containsSemiMixedTypes="0" containsNonDate="0" containsString="0"/>
    </cacheField>
    <cacheField name="[Bank_Churn].[Gender].[Gender]" caption="Gender" numFmtId="0" hierarchy="4" level="1">
      <sharedItems containsSemiMixedTypes="0" containsNonDate="0" containsString="0"/>
    </cacheField>
    <cacheField name="[Bank_Churn].[ActivityStatus].[ActivityStatus]" caption="ActivityStatus" numFmtId="0" hierarchy="14" level="1">
      <sharedItems containsSemiMixedTypes="0" containsNonDate="0" containsString="0"/>
    </cacheField>
  </cacheFields>
  <cacheHierarchies count="26">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2"/>
      </fieldsUsage>
    </cacheHierarchy>
    <cacheHierarchy uniqueName="[Bank_Churn].[Gender]" caption="Gender" attribute="1" defaultMemberUniqueName="[Bank_Churn].[Gender].[All]" allUniqueName="[Bank_Churn].[Gender].[All]" dimensionUniqueName="[Bank_Churn]" displayFolder="" count="2" memberValueDatatype="130" unbalanced="0">
      <fieldsUsage count="2">
        <fieldUsage x="-1"/>
        <fieldUsage x="3"/>
      </fieldsUsage>
    </cacheHierarchy>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fieldsUsage count="2">
        <fieldUsage x="-1"/>
        <fieldUsage x="1"/>
      </fieldsUsage>
    </cacheHierarchy>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Group]" caption="AgeGroup" attribute="1" defaultMemberUniqueName="[Bank_Churn].[AgeGroup].[All]" allUniqueName="[Bank_Churn].[AgeGroup].[All]" dimensionUniqueName="[Bank_Churn]" displayFolder="" count="2" memberValueDatatype="130" unbalanced="0"/>
    <cacheHierarchy uniqueName="[Bank_Churn].[ActivityStatus]" caption="ActivityStatus" attribute="1" defaultMemberUniqueName="[Bank_Churn].[ActivityStatus].[All]" allUniqueName="[Bank_Churn].[ActivityStatus].[All]" dimensionUniqueName="[Bank_Churn]" displayFolder="" count="2" memberValueDatatype="130" unbalanced="0">
      <fieldsUsage count="2">
        <fieldUsage x="-1"/>
        <fieldUsage x="4"/>
      </fieldsUsage>
    </cacheHierarchy>
    <cacheHierarchy uniqueName="[Measures].[Total Customers]" caption="Total Customers" measure="1" displayFolder="" measureGroup="Bank_Churn" count="0"/>
    <cacheHierarchy uniqueName="[Measures].[Total Churn]" caption="Total Churn" measure="1" displayFolder="" measureGroup="Bank_Churn" count="0"/>
    <cacheHierarchy uniqueName="[Measures].[Churn Rate]" caption="Churn Rate" measure="1" displayFolder="" measureGroup="Bank_Churn" count="0"/>
    <cacheHierarchy uniqueName="[Measures].[Retained Customers]" caption="Retained Customers" measure="1" displayFolder="" measureGroup="Bank_Churn" count="0"/>
    <cacheHierarchy uniqueName="[Measures].[Total Balance]" caption="Total Balance" measure="1" displayFolder="" measureGroup="Bank_Churn" count="0"/>
    <cacheHierarchy uniqueName="[Measures].[Churn Balance Loss]" caption="Churn Balance Loss" measure="1" displayFolder="" measureGroup="Bank_Churn" count="0"/>
    <cacheHierarchy uniqueName="[Measures].[Avg Credit Score]" caption="Avg Credit Score" measure="1" displayFolder="" measureGroup="Bank_Churn" count="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Average of Exited]" caption="Average of Exited" measure="1" displayFolder="" measureGroup="Bank_Churn"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6.364749768516" backgroundQuery="1" createdVersion="8" refreshedVersion="8" minRefreshableVersion="3" recordCount="0" supportSubquery="1" supportAdvancedDrill="1" xr:uid="{4DE4CF48-D505-4610-928A-37139AC6F2AF}">
  <cacheSource type="external" connectionId="2"/>
  <cacheFields count="4">
    <cacheField name="[Measures].[Average of Exited]" caption="Average of Exited" numFmtId="0" hierarchy="25" level="32767"/>
    <cacheField name="[Bank_Churn].[ActivityStatus].[ActivityStatus]" caption="ActivityStatus" numFmtId="0" hierarchy="14" level="1">
      <sharedItems count="1">
        <s v="Active"/>
      </sharedItems>
    </cacheField>
    <cacheField name="[Bank_Churn].[Geography].[Geography]" caption="Geography" numFmtId="0" hierarchy="3" level="1">
      <sharedItems containsSemiMixedTypes="0" containsNonDate="0" containsString="0"/>
    </cacheField>
    <cacheField name="[Bank_Churn].[Gender].[Gender]" caption="Gender" numFmtId="0" hierarchy="4" level="1">
      <sharedItems containsSemiMixedTypes="0" containsNonDate="0" containsString="0"/>
    </cacheField>
  </cacheFields>
  <cacheHierarchies count="26">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2"/>
      </fieldsUsage>
    </cacheHierarchy>
    <cacheHierarchy uniqueName="[Bank_Churn].[Gender]" caption="Gender" attribute="1" defaultMemberUniqueName="[Bank_Churn].[Gender].[All]" allUniqueName="[Bank_Churn].[Gender].[All]" dimensionUniqueName="[Bank_Churn]" displayFolder="" count="2" memberValueDatatype="130" unbalanced="0">
      <fieldsUsage count="2">
        <fieldUsage x="-1"/>
        <fieldUsage x="3"/>
      </fieldsUsage>
    </cacheHierarchy>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Group]" caption="AgeGroup" attribute="1" defaultMemberUniqueName="[Bank_Churn].[AgeGroup].[All]" allUniqueName="[Bank_Churn].[AgeGroup].[All]" dimensionUniqueName="[Bank_Churn]" displayFolder="" count="2" memberValueDatatype="130" unbalanced="0"/>
    <cacheHierarchy uniqueName="[Bank_Churn].[ActivityStatus]" caption="ActivityStatus" attribute="1" defaultMemberUniqueName="[Bank_Churn].[ActivityStatus].[All]" allUniqueName="[Bank_Churn].[ActivityStatus].[All]" dimensionUniqueName="[Bank_Churn]" displayFolder="" count="2" memberValueDatatype="130" unbalanced="0">
      <fieldsUsage count="2">
        <fieldUsage x="-1"/>
        <fieldUsage x="1"/>
      </fieldsUsage>
    </cacheHierarchy>
    <cacheHierarchy uniqueName="[Measures].[Total Customers]" caption="Total Customers" measure="1" displayFolder="" measureGroup="Bank_Churn" count="0"/>
    <cacheHierarchy uniqueName="[Measures].[Total Churn]" caption="Total Churn" measure="1" displayFolder="" measureGroup="Bank_Churn" count="0"/>
    <cacheHierarchy uniqueName="[Measures].[Churn Rate]" caption="Churn Rate" measure="1" displayFolder="" measureGroup="Bank_Churn" count="0"/>
    <cacheHierarchy uniqueName="[Measures].[Retained Customers]" caption="Retained Customers" measure="1" displayFolder="" measureGroup="Bank_Churn" count="0"/>
    <cacheHierarchy uniqueName="[Measures].[Total Balance]" caption="Total Balance" measure="1" displayFolder="" measureGroup="Bank_Churn" count="0"/>
    <cacheHierarchy uniqueName="[Measures].[Churn Balance Loss]" caption="Churn Balance Loss" measure="1" displayFolder="" measureGroup="Bank_Churn" count="0"/>
    <cacheHierarchy uniqueName="[Measures].[Avg Credit Score]" caption="Avg Credit Score" measure="1" displayFolder="" measureGroup="Bank_Churn" count="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Average of Exited]" caption="Average of Exited" measure="1" displayFolder="" measureGroup="Bank_Churn"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6.084697222221" backgroundQuery="1" createdVersion="3" refreshedVersion="8" minRefreshableVersion="3" recordCount="0" supportSubquery="1" supportAdvancedDrill="1" xr:uid="{4078F0A9-5BB8-453E-8A40-F8CBE14C16A4}">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Group]" caption="AgeGroup" attribute="1" defaultMemberUniqueName="[Bank_Churn].[AgeGroup].[All]" allUniqueName="[Bank_Churn].[AgeGroup].[All]" dimensionUniqueName="[Bank_Churn]" displayFolder="" count="0" memberValueDatatype="130" unbalanced="0"/>
    <cacheHierarchy uniqueName="[Bank_Churn].[ActivityStatus]" caption="ActivityStatus" attribute="1" defaultMemberUniqueName="[Bank_Churn].[ActivityStatus].[All]" allUniqueName="[Bank_Churn].[ActivityStatus].[All]" dimensionUniqueName="[Bank_Churn]" displayFolder="" count="2" memberValueDatatype="130" unbalanced="0"/>
    <cacheHierarchy uniqueName="[Measures].[Total Customers]" caption="Total Customers" measure="1" displayFolder="" measureGroup="Bank_Churn" count="0"/>
    <cacheHierarchy uniqueName="[Measures].[Total Churn]" caption="Total Churn" measure="1" displayFolder="" measureGroup="Bank_Churn" count="0"/>
    <cacheHierarchy uniqueName="[Measures].[Churn Rate]" caption="Churn Rate" measure="1" displayFolder="" measureGroup="Bank_Churn" count="0"/>
    <cacheHierarchy uniqueName="[Measures].[Retained Customers]" caption="Retained Customers" measure="1" displayFolder="" measureGroup="Bank_Churn" count="0"/>
    <cacheHierarchy uniqueName="[Measures].[Total Balance]" caption="Total Balance" measure="1" displayFolder="" measureGroup="Bank_Churn" count="0"/>
    <cacheHierarchy uniqueName="[Measures].[Churn Balance Loss]" caption="Churn Balance Loss" measure="1" displayFolder="" measureGroup="Bank_Churn" count="0"/>
    <cacheHierarchy uniqueName="[Measures].[Avg Credit Score]" caption="Avg Credit Score" measure="1" displayFolder="" measureGroup="Bank_Churn" count="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Average of Exited]" caption="Average of Exited" measure="1" displayFolder="" measureGroup="Bank_Churn" count="0" hidden="1">
      <extLst>
        <ext xmlns:x15="http://schemas.microsoft.com/office/spreadsheetml/2010/11/main" uri="{B97F6D7D-B522-45F9-BDA1-12C45D357490}">
          <x15:cacheHierarchy aggregatedColumn="12"/>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9803014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72BCD9-6181-4DE5-935D-69D3081DA9A3}" name="PivotTable5" cacheId="1693" applyNumberFormats="0" applyBorderFormats="0" applyFontFormats="0" applyPatternFormats="0" applyAlignmentFormats="0" applyWidthHeightFormats="1" dataCaption="Values" tag="0a89839e-2096-48a4-9e3b-b95eeffe61b7" updatedVersion="8" minRefreshableVersion="3" useAutoFormatting="1" subtotalHiddenItems="1" itemPrintTitles="1" createdVersion="8" indent="0" outline="1" outlineData="1" multipleFieldFilters="0" chartFormat="5">
  <location ref="C8:D10" firstHeaderRow="1" firstDataRow="1" firstDataCol="1"/>
  <pivotFields count="4">
    <pivotField axis="axisRow" allDrilled="1" subtotalTop="0" showAll="0" sortType="ascending" dataSourceSort="1"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hurn Rate" fld="1" subtotal="average" baseField="0" baseItem="0"/>
  </dataFields>
  <formats count="1">
    <format dxfId="1016">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multipleItemSelectionAllowed="1" dragToData="1">
      <members count="1" level="1">
        <member name="[Bank_Churn].[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ank_Churn].[ActivityStatus].&amp;[Active]"/>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hurn Rate"/>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A608BC-9712-44C1-9CC6-BA7A93988416}" name="PivotTable4" cacheId="1702" applyNumberFormats="0" applyBorderFormats="0" applyFontFormats="0" applyPatternFormats="0" applyAlignmentFormats="0" applyWidthHeightFormats="1" dataCaption="Values" tag="0c05a5b7-6288-406b-9560-37da65664acb" updatedVersion="8" minRefreshableVersion="3" useAutoFormatting="1" subtotalHiddenItems="1" itemPrintTitles="1" createdVersion="8" indent="0" outline="1" outlineData="1" multipleFieldFilters="0">
  <location ref="A8:A9"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hurn Rate" fld="0" subtotal="average" baseField="0" baseItem="0" numFmtId="9"/>
  </dataFields>
  <formats count="1">
    <format dxfId="1017">
      <pivotArea outline="0" collapsedLevelsAreSubtotals="1" fieldPosition="0"/>
    </format>
  </formats>
  <pivotHierarchies count="26">
    <pivotHierarchy dragToData="1"/>
    <pivotHierarchy dragToData="1"/>
    <pivotHierarchy dragToData="1"/>
    <pivotHierarchy multipleItemSelectionAllowed="1" dragToData="1">
      <members count="1" level="1">
        <member name="[Bank_Churn].[Geography].&amp;[France]"/>
      </members>
    </pivotHierarchy>
    <pivotHierarchy multipleItemSelectionAllowed="1" dragToData="1">
      <members count="1" level="1">
        <member name="[Bank_Churn].[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ank_Churn].[ActivityStatus].&amp;[Active]"/>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hurn Rat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1BA178-0E8A-4D9C-BCEC-ADC6D54A57BC}" name="PivotTable3" cacheId="1699" applyNumberFormats="0" applyBorderFormats="0" applyFontFormats="0" applyPatternFormats="0" applyAlignmentFormats="0" applyWidthHeightFormats="1" dataCaption="Values" tag="399fb4cf-ceca-4334-8d9e-098d9158261d" updatedVersion="8" minRefreshableVersion="3" useAutoFormatting="1" subtotalHiddenItems="1" itemPrintTitles="1" createdVersion="8" indent="0" outline="1" outlineData="1" multipleFieldFilters="0">
  <location ref="A3:G4"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numFmtId="164"/>
    <dataField fld="1" subtotal="count" baseField="0" baseItem="0" numFmtId="164"/>
    <dataField fld="2" subtotal="count" baseField="0" baseItem="0"/>
    <dataField fld="3" subtotal="count" baseField="0" baseItem="0" numFmtId="164"/>
    <dataField fld="4" subtotal="count" baseField="0" baseItem="0" numFmtId="167"/>
    <dataField fld="5" subtotal="count" baseField="0" baseItem="0" numFmtId="167"/>
    <dataField fld="6" subtotal="count" baseField="0" baseItem="0" numFmtId="1"/>
  </dataFields>
  <formats count="8">
    <format dxfId="1023">
      <pivotArea outline="0" collapsedLevelsAreSubtotals="1" fieldPosition="0">
        <references count="1">
          <reference field="4294967294" count="1" selected="0">
            <x v="5"/>
          </reference>
        </references>
      </pivotArea>
    </format>
    <format dxfId="1022">
      <pivotArea outline="0" collapsedLevelsAreSubtotals="1" fieldPosition="0">
        <references count="1">
          <reference field="4294967294" count="1" selected="0">
            <x v="6"/>
          </reference>
        </references>
      </pivotArea>
    </format>
    <format dxfId="1021">
      <pivotArea dataOnly="0" labelOnly="1" outline="0" fieldPosition="0">
        <references count="1">
          <reference field="4294967294" count="1">
            <x v="0"/>
          </reference>
        </references>
      </pivotArea>
    </format>
    <format dxfId="1020">
      <pivotArea outline="0" collapsedLevelsAreSubtotals="1" fieldPosition="0">
        <references count="1">
          <reference field="4294967294" count="1" selected="0">
            <x v="0"/>
          </reference>
        </references>
      </pivotArea>
    </format>
    <format dxfId="1019">
      <pivotArea outline="0" collapsedLevelsAreSubtotals="1" fieldPosition="0">
        <references count="1">
          <reference field="4294967294" count="1" selected="0">
            <x v="1"/>
          </reference>
        </references>
      </pivotArea>
    </format>
    <format dxfId="1018">
      <pivotArea outline="0" collapsedLevelsAreSubtotals="1" fieldPosition="0">
        <references count="1">
          <reference field="4294967294" count="1" selected="0">
            <x v="3"/>
          </reference>
        </references>
      </pivotArea>
    </format>
    <format dxfId="348">
      <pivotArea outline="0" fieldPosition="0">
        <references count="1">
          <reference field="4294967294" count="1">
            <x v="5"/>
          </reference>
        </references>
      </pivotArea>
    </format>
    <format dxfId="339">
      <pivotArea outline="0" collapsedLevelsAreSubtotals="1" fieldPosition="0">
        <references count="1">
          <reference field="4294967294" count="1" selected="0">
            <x v="4"/>
          </reference>
        </references>
      </pivotArea>
    </format>
  </formats>
  <pivotHierarchies count="26">
    <pivotHierarchy dragToData="1"/>
    <pivotHierarchy dragToData="1"/>
    <pivotHierarchy dragToData="1"/>
    <pivotHierarchy multipleItemSelectionAllowed="1" dragToData="1">
      <members count="1" level="1">
        <member name="[Bank_Churn].[Geography].&amp;[France]"/>
      </members>
    </pivotHierarchy>
    <pivotHierarchy multipleItemSelectionAllowed="1" dragToData="1">
      <members count="1" level="1">
        <member name="[Bank_Churn].[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ank_Churn].[ActivityStatus].&amp;[Active]"/>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5EC617-9FD6-45CC-85CE-85623988C154}" name="PivotTable8" cacheId="1711" applyNumberFormats="0" applyBorderFormats="0" applyFontFormats="0" applyPatternFormats="0" applyAlignmentFormats="0" applyWidthHeightFormats="1" dataCaption="Values" tag="0699ee35-6ae0-4098-a219-16b1d4af9958" updatedVersion="8" minRefreshableVersion="3" useAutoFormatting="1" subtotalHiddenItems="1" itemPrintTitles="1" createdVersion="8" indent="0" outline="1" outlineData="1" multipleFieldFilters="0" chartFormat="6">
  <location ref="D17:E19" firstHeaderRow="1" firstDataRow="1" firstDataCol="1"/>
  <pivotFields count="4">
    <pivotField dataField="1" subtotalTop="0" showAll="0" defaultSubtotal="0"/>
    <pivotField axis="axisRow" allDrilled="1" subtotalTop="0" showAll="0" sortType="descending" dataSourceSort="1" defaultSubtotal="0" defaultAttributeDrillState="1">
      <items count="1">
        <item s="1"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Churn Rate" fld="0" subtotal="average" baseField="0" baseItem="0"/>
  </dataFields>
  <formats count="1">
    <format dxfId="1024">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Bank_Churn].[Geography].&amp;[France]"/>
      </members>
    </pivotHierarchy>
    <pivotHierarchy multipleItemSelectionAllowed="1" dragToData="1">
      <members count="1" level="1">
        <member name="[Bank_Churn].[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hurn Rate"/>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AFB870-2434-4889-B84B-70C3F6AF3D06}" name="PivotTable7" cacheId="1708" applyNumberFormats="0" applyBorderFormats="0" applyFontFormats="0" applyPatternFormats="0" applyAlignmentFormats="0" applyWidthHeightFormats="1" dataCaption="Values" tag="1d3a98f7-f418-4442-9c0a-0083d512b2a6" updatedVersion="8" minRefreshableVersion="3" useAutoFormatting="1" subtotalHiddenItems="1" itemPrintTitles="1" createdVersion="8" indent="0" outline="1" outlineData="1" multipleFieldFilters="0" chartFormat="5">
  <location ref="A16:B21" firstHeaderRow="1" firstDataRow="1" firstDataCol="1"/>
  <pivotFields count="5">
    <pivotField dataField="1" subtotalTop="0" showAll="0" defaultSubtotal="0"/>
    <pivotField axis="axisRow" allDrilled="1" subtotalTop="0" showAll="0" sortType="a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v="1"/>
    </i>
    <i>
      <x/>
    </i>
    <i>
      <x v="2"/>
    </i>
    <i>
      <x v="3"/>
    </i>
    <i t="grand">
      <x/>
    </i>
  </rowItems>
  <colItems count="1">
    <i/>
  </colItems>
  <dataFields count="1">
    <dataField name="Churn Rate" fld="0" subtotal="average" baseField="0" baseItem="0"/>
  </dataFields>
  <formats count="1">
    <format dxfId="1025">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Bank_Churn].[Geography].&amp;[France]"/>
      </members>
    </pivotHierarchy>
    <pivotHierarchy multipleItemSelectionAllowed="1" dragToData="1">
      <members count="1" level="1">
        <member name="[Bank_Churn].[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ank_Churn].[ActivityStatus].&amp;[Active]"/>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hurn Rate"/>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EE3E7B-EB35-46DA-8B77-5355D0B404B4}" name="PivotTable2" cacheId="1696" applyNumberFormats="0" applyBorderFormats="0" applyFontFormats="0" applyPatternFormats="0" applyAlignmentFormats="0" applyWidthHeightFormats="1" dataCaption="Values" tag="907781e4-0ef7-48af-b274-45392e50adeb" updatedVersion="8" minRefreshableVersion="3" useAutoFormatting="1" subtotalHiddenItems="1" itemPrintTitles="1" createdVersion="8" indent="0" outline="1" outlineData="1" multipleFieldFilters="0">
  <location ref="L9:N26" firstHeaderRow="1" firstDataRow="1" firstDataCol="0"/>
  <pivotFields count="3">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pivotHierarchies count="26">
    <pivotHierarchy dragToData="1"/>
    <pivotHierarchy dragToData="1"/>
    <pivotHierarchy dragToData="1"/>
    <pivotHierarchy multipleItemSelectionAllowed="1" dragToData="1">
      <members count="1" level="1">
        <member name="[Bank_Churn].[Geography].&amp;[France]"/>
      </members>
    </pivotHierarchy>
    <pivotHierarchy multipleItemSelectionAllowed="1" dragToData="1">
      <members count="1" level="1">
        <member name="[Bank_Churn].[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ank_Churn].[ActivityStatus].&amp;[Active]"/>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08338B-D473-4DB3-B4B2-94F65B04A2C7}" name="PivotTable6" cacheId="1705" applyNumberFormats="0" applyBorderFormats="0" applyFontFormats="0" applyPatternFormats="0" applyAlignmentFormats="0" applyWidthHeightFormats="1" dataCaption="Values" tag="3ff107d7-2c01-4bee-91a2-2f272834d704" updatedVersion="8" minRefreshableVersion="3" useAutoFormatting="1" subtotalHiddenItems="1" itemPrintTitles="1" createdVersion="8" indent="0" outline="1" outlineData="1" multipleFieldFilters="0" chartFormat="7">
  <location ref="F8:G14" firstHeaderRow="1" firstDataRow="1" firstDataCol="1"/>
  <pivotFields count="5">
    <pivotField dataField="1" subtotalTop="0" showAll="0" defaultSubtotal="0"/>
    <pivotField axis="axisRow" allDrilled="1" subtotalTop="0" showAll="0"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3"/>
    </i>
    <i>
      <x v="2"/>
    </i>
    <i>
      <x v="4"/>
    </i>
    <i>
      <x v="1"/>
    </i>
    <i>
      <x/>
    </i>
    <i t="grand">
      <x/>
    </i>
  </rowItems>
  <colItems count="1">
    <i/>
  </colItems>
  <dataFields count="1">
    <dataField name="Churn Rate" fld="0" subtotal="average" baseField="0" baseItem="0"/>
  </dataFields>
  <formats count="1">
    <format dxfId="1026">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Bank_Churn].[Geography].&amp;[France]"/>
      </members>
    </pivotHierarchy>
    <pivotHierarchy multipleItemSelectionAllowed="1" dragToData="1">
      <members count="1" level="1">
        <member name="[Bank_Churn].[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ank_Churn].[ActivityStatus].&amp;[Active]"/>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hurn Rate"/>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7E7158C7-36CB-4E71-9B1A-312278D78E9C}" sourceName="[Bank_Churn].[Geography]">
  <pivotTables>
    <pivotTable tabId="2" name="PivotTable5"/>
    <pivotTable tabId="2" name="PivotTable2"/>
    <pivotTable tabId="2" name="PivotTable3"/>
    <pivotTable tabId="2" name="PivotTable4"/>
    <pivotTable tabId="2" name="PivotTable6"/>
    <pivotTable tabId="2" name="PivotTable7"/>
    <pivotTable tabId="2" name="PivotTable8"/>
  </pivotTables>
  <data>
    <olap pivotCacheId="980301418">
      <levels count="2">
        <level uniqueName="[Bank_Churn].[Geography].[(All)]" sourceCaption="(All)" count="0"/>
        <level uniqueName="[Bank_Churn].[Geography].[Geography]" sourceCaption="Geography" count="3">
          <ranges>
            <range startItem="0">
              <i n="[Bank_Churn].[Geography].&amp;[France]" c="France"/>
              <i n="[Bank_Churn].[Geography].&amp;[Germany]" c="Germany"/>
              <i n="[Bank_Churn].[Geography].&amp;[Spain]" c="Spain"/>
            </range>
          </ranges>
        </level>
      </levels>
      <selections count="1">
        <selection n="[Bank_Churn].[Geography].&amp;[Franc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E608864-C08C-4F93-8F40-EAD49E7924C8}" sourceName="[Bank_Churn].[Gender]">
  <pivotTables>
    <pivotTable tabId="2" name="PivotTable5"/>
    <pivotTable tabId="2" name="PivotTable2"/>
    <pivotTable tabId="2" name="PivotTable3"/>
    <pivotTable tabId="2" name="PivotTable4"/>
    <pivotTable tabId="2" name="PivotTable6"/>
    <pivotTable tabId="2" name="PivotTable7"/>
    <pivotTable tabId="2" name="PivotTable8"/>
  </pivotTables>
  <data>
    <olap pivotCacheId="980301418">
      <levels count="2">
        <level uniqueName="[Bank_Churn].[Gender].[(All)]" sourceCaption="(All)" count="0"/>
        <level uniqueName="[Bank_Churn].[Gender].[Gender]" sourceCaption="Gender" count="2">
          <ranges>
            <range startItem="0">
              <i n="[Bank_Churn].[Gender].&amp;[Female]" c="Female"/>
              <i n="[Bank_Churn].[Gender].&amp;[Male]" c="Male"/>
            </range>
          </ranges>
        </level>
      </levels>
      <selections count="1">
        <selection n="[Bank_Churn].[Gender].&amp;[Femal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ityStatus" xr10:uid="{6CCD3A86-CB6A-45FE-B822-07EDEC0414F9}" sourceName="[Bank_Churn].[ActivityStatus]">
  <pivotTables>
    <pivotTable tabId="2" name="PivotTable5"/>
    <pivotTable tabId="2" name="PivotTable2"/>
    <pivotTable tabId="2" name="PivotTable3"/>
    <pivotTable tabId="2" name="PivotTable4"/>
    <pivotTable tabId="2" name="PivotTable6"/>
    <pivotTable tabId="2" name="PivotTable7"/>
    <pivotTable tabId="2" name="PivotTable8"/>
  </pivotTables>
  <data>
    <olap pivotCacheId="980301418">
      <levels count="2">
        <level uniqueName="[Bank_Churn].[ActivityStatus].[(All)]" sourceCaption="(All)" count="0"/>
        <level uniqueName="[Bank_Churn].[ActivityStatus].[ActivityStatus]" sourceCaption="ActivityStatus" count="2">
          <ranges>
            <range startItem="0">
              <i n="[Bank_Churn].[ActivityStatus].&amp;[Active]" c="Active"/>
              <i n="[Bank_Churn].[ActivityStatus].&amp;[Inactive]" c="Inactive"/>
            </range>
          </ranges>
        </level>
      </levels>
      <selections count="1">
        <selection n="[Bank_Churn].[ActivityStatus].&amp;[Activ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37835E25-67D6-4582-9649-1F2B34833533}" cache="Slicer_Geography" caption="Geography" columnCount="3" showCaption="0" level="1" style="Slicer Style 1" rowHeight="251883"/>
  <slicer name="Gender" xr10:uid="{6063368F-5030-4F47-BEC2-E97283E724DD}" cache="Slicer_Gender" caption="Gender" columnCount="2" showCaption="0" level="1" style="Slicer Style 1" rowHeight="251883"/>
  <slicer name="ActivityStatus" xr10:uid="{3B056579-707C-4DA1-A347-AA0F09874F87}" cache="Slicer_ActivityStatus" caption="ActivityStatus" columnCount="2" showCaption="0" level="1" style="Slicer Style 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51247-DF94-4463-9B9B-5B888E81B517}">
  <dimension ref="A1"/>
  <sheetViews>
    <sheetView workbookViewId="0">
      <selection activeCell="I22" sqref="I22"/>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48B8-98A9-4F81-B821-F31C7361059D}">
  <dimension ref="A3:N26"/>
  <sheetViews>
    <sheetView workbookViewId="0">
      <selection activeCell="I7" sqref="I7"/>
    </sheetView>
  </sheetViews>
  <sheetFormatPr defaultRowHeight="14.5" x14ac:dyDescent="0.35"/>
  <cols>
    <col min="1" max="1" width="12.453125" bestFit="1" customWidth="1"/>
    <col min="2" max="2" width="10.1796875" bestFit="1" customWidth="1"/>
    <col min="3" max="3" width="11.81640625" bestFit="1" customWidth="1"/>
    <col min="4" max="4" width="12.453125" bestFit="1" customWidth="1"/>
    <col min="5" max="5" width="10.1796875" bestFit="1" customWidth="1"/>
    <col min="6" max="6" width="12.453125" bestFit="1" customWidth="1"/>
    <col min="7" max="7" width="10.1796875" bestFit="1" customWidth="1"/>
  </cols>
  <sheetData>
    <row r="3" spans="1:14" x14ac:dyDescent="0.35">
      <c r="A3" s="16" t="s">
        <v>0</v>
      </c>
      <c r="B3" t="s">
        <v>1</v>
      </c>
      <c r="C3" t="s">
        <v>2</v>
      </c>
      <c r="D3" t="s">
        <v>3</v>
      </c>
      <c r="E3" t="s">
        <v>4</v>
      </c>
      <c r="F3" t="s">
        <v>5</v>
      </c>
      <c r="G3" t="s">
        <v>6</v>
      </c>
    </row>
    <row r="4" spans="1:14" x14ac:dyDescent="0.35">
      <c r="A4" s="16">
        <v>1162</v>
      </c>
      <c r="B4" s="16">
        <v>172</v>
      </c>
      <c r="C4" s="17">
        <v>0.14802065404475043</v>
      </c>
      <c r="D4" s="16">
        <v>990</v>
      </c>
      <c r="E4" s="18">
        <v>69312176.530000001</v>
      </c>
      <c r="F4" s="18">
        <v>11694160.75</v>
      </c>
      <c r="G4" s="15">
        <v>652.20740103270225</v>
      </c>
    </row>
    <row r="5" spans="1:14" x14ac:dyDescent="0.35">
      <c r="A5" s="13">
        <f>GETPIVOTDATA("[Measures].[Total Customers]",$A$3)</f>
        <v>1162</v>
      </c>
      <c r="C5" s="14">
        <f>GETPIVOTDATA("[Measures].[Churn Rate]",$A$3)</f>
        <v>0.14802065404475043</v>
      </c>
      <c r="F5" s="18">
        <f>GETPIVOTDATA("[Measures].[Churn Balance Loss]",$A$3)</f>
        <v>11694160.75</v>
      </c>
      <c r="G5" s="15">
        <f>GETPIVOTDATA("[Measures].[Avg Credit Score]",$A$3)</f>
        <v>652.20740103270225</v>
      </c>
    </row>
    <row r="7" spans="1:14" x14ac:dyDescent="0.35">
      <c r="C7" t="s">
        <v>10</v>
      </c>
      <c r="F7" t="s">
        <v>16</v>
      </c>
    </row>
    <row r="8" spans="1:14" x14ac:dyDescent="0.35">
      <c r="A8" t="s">
        <v>2</v>
      </c>
      <c r="C8" s="11" t="s">
        <v>7</v>
      </c>
      <c r="D8" t="s">
        <v>2</v>
      </c>
      <c r="F8" s="11" t="s">
        <v>7</v>
      </c>
      <c r="G8" t="s">
        <v>2</v>
      </c>
    </row>
    <row r="9" spans="1:14" x14ac:dyDescent="0.35">
      <c r="A9" s="10">
        <v>0.14802065404475043</v>
      </c>
      <c r="C9" s="12" t="s">
        <v>8</v>
      </c>
      <c r="D9" s="10">
        <v>0.14802065404475043</v>
      </c>
      <c r="F9" s="12" t="s">
        <v>14</v>
      </c>
      <c r="G9" s="10">
        <v>0.46078431372549017</v>
      </c>
      <c r="L9" s="1"/>
      <c r="M9" s="2"/>
      <c r="N9" s="3"/>
    </row>
    <row r="10" spans="1:14" x14ac:dyDescent="0.35">
      <c r="C10" s="12" t="s">
        <v>9</v>
      </c>
      <c r="D10" s="10">
        <v>0.14802065404475043</v>
      </c>
      <c r="F10" s="12" t="s">
        <v>13</v>
      </c>
      <c r="G10" s="10">
        <v>0.23357664233576642</v>
      </c>
      <c r="L10" s="4"/>
      <c r="M10" s="5"/>
      <c r="N10" s="6"/>
    </row>
    <row r="11" spans="1:14" x14ac:dyDescent="0.35">
      <c r="F11" s="12" t="s">
        <v>15</v>
      </c>
      <c r="G11" s="10">
        <v>0.1111111111111111</v>
      </c>
      <c r="L11" s="4"/>
      <c r="M11" s="5"/>
      <c r="N11" s="6"/>
    </row>
    <row r="12" spans="1:14" x14ac:dyDescent="0.35">
      <c r="F12" s="12" t="s">
        <v>12</v>
      </c>
      <c r="G12" s="10">
        <v>8.4710743801652888E-2</v>
      </c>
      <c r="L12" s="4"/>
      <c r="M12" s="5"/>
      <c r="N12" s="6"/>
    </row>
    <row r="13" spans="1:14" x14ac:dyDescent="0.35">
      <c r="F13" s="12" t="s">
        <v>11</v>
      </c>
      <c r="G13" s="10">
        <v>4.4334975369458129E-2</v>
      </c>
      <c r="L13" s="4"/>
      <c r="M13" s="5"/>
      <c r="N13" s="6"/>
    </row>
    <row r="14" spans="1:14" x14ac:dyDescent="0.35">
      <c r="F14" s="12" t="s">
        <v>9</v>
      </c>
      <c r="G14" s="10">
        <v>0.14802065404475043</v>
      </c>
      <c r="L14" s="4"/>
      <c r="M14" s="5"/>
      <c r="N14" s="6"/>
    </row>
    <row r="15" spans="1:14" x14ac:dyDescent="0.35">
      <c r="A15" t="s">
        <v>17</v>
      </c>
      <c r="L15" s="4"/>
      <c r="M15" s="5"/>
      <c r="N15" s="6"/>
    </row>
    <row r="16" spans="1:14" x14ac:dyDescent="0.35">
      <c r="A16" s="11" t="s">
        <v>7</v>
      </c>
      <c r="B16" t="s">
        <v>2</v>
      </c>
      <c r="D16" t="s">
        <v>19</v>
      </c>
      <c r="L16" s="4"/>
      <c r="M16" s="5"/>
      <c r="N16" s="6"/>
    </row>
    <row r="17" spans="1:14" x14ac:dyDescent="0.35">
      <c r="A17" s="12">
        <v>2</v>
      </c>
      <c r="B17" s="10">
        <v>5.8614564831261103E-2</v>
      </c>
      <c r="D17" s="11" t="s">
        <v>7</v>
      </c>
      <c r="E17" t="s">
        <v>2</v>
      </c>
      <c r="L17" s="4"/>
      <c r="M17" s="5"/>
      <c r="N17" s="6"/>
    </row>
    <row r="18" spans="1:14" x14ac:dyDescent="0.35">
      <c r="A18" s="12">
        <v>1</v>
      </c>
      <c r="B18" s="10">
        <v>0.19718309859154928</v>
      </c>
      <c r="D18" s="12" t="s">
        <v>18</v>
      </c>
      <c r="E18" s="10">
        <v>0.14802065404475043</v>
      </c>
      <c r="L18" s="4"/>
      <c r="M18" s="5"/>
      <c r="N18" s="6"/>
    </row>
    <row r="19" spans="1:14" x14ac:dyDescent="0.35">
      <c r="A19" s="12">
        <v>3</v>
      </c>
      <c r="B19" s="10">
        <v>0.78947368421052633</v>
      </c>
      <c r="D19" s="12" t="s">
        <v>9</v>
      </c>
      <c r="E19" s="10">
        <v>0.14802065404475043</v>
      </c>
      <c r="L19" s="4"/>
      <c r="M19" s="5"/>
      <c r="N19" s="6"/>
    </row>
    <row r="20" spans="1:14" x14ac:dyDescent="0.35">
      <c r="A20" s="12">
        <v>4</v>
      </c>
      <c r="B20" s="10">
        <v>1</v>
      </c>
      <c r="L20" s="4"/>
      <c r="M20" s="5"/>
      <c r="N20" s="6"/>
    </row>
    <row r="21" spans="1:14" x14ac:dyDescent="0.35">
      <c r="A21" s="12" t="s">
        <v>9</v>
      </c>
      <c r="B21" s="10">
        <v>0.14802065404475043</v>
      </c>
      <c r="L21" s="4"/>
      <c r="M21" s="5"/>
      <c r="N21" s="6"/>
    </row>
    <row r="22" spans="1:14" x14ac:dyDescent="0.35">
      <c r="L22" s="4"/>
      <c r="M22" s="5"/>
      <c r="N22" s="6"/>
    </row>
    <row r="23" spans="1:14" x14ac:dyDescent="0.35">
      <c r="L23" s="4"/>
      <c r="M23" s="5"/>
      <c r="N23" s="6"/>
    </row>
    <row r="24" spans="1:14" x14ac:dyDescent="0.35">
      <c r="L24" s="4"/>
      <c r="M24" s="5"/>
      <c r="N24" s="6"/>
    </row>
    <row r="25" spans="1:14" x14ac:dyDescent="0.35">
      <c r="L25" s="4"/>
      <c r="M25" s="5"/>
      <c r="N25" s="6"/>
    </row>
    <row r="26" spans="1:14" x14ac:dyDescent="0.35">
      <c r="L26" s="7"/>
      <c r="M26" s="8"/>
      <c r="N26"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94235-C4F5-4878-AA9C-2C7FE816D938}">
  <dimension ref="A1"/>
  <sheetViews>
    <sheetView zoomScale="85" zoomScaleNormal="85" workbookViewId="0">
      <selection activeCell="O18" sqref="O18"/>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0E05D-C59E-48A5-9FC9-9F77478626BD}">
  <dimension ref="A1"/>
  <sheetViews>
    <sheetView showGridLines="0" tabSelected="1" zoomScaleNormal="100" workbookViewId="0">
      <selection activeCell="Q9" sqref="Q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Props1.xml><?xml version="1.0" encoding="utf-8"?>
<ds:datastoreItem xmlns:ds="http://schemas.openxmlformats.org/officeDocument/2006/customXml" ds:itemID="{D500FDE3-8AFB-4E47-9283-1065F9429BF0}">
  <ds:schemaRefs/>
</ds:datastoreItem>
</file>

<file path=customXml/itemProps2.xml><?xml version="1.0" encoding="utf-8"?>
<ds:datastoreItem xmlns:ds="http://schemas.openxmlformats.org/officeDocument/2006/customXml" ds:itemID="{44959D8D-78AB-4F98-8764-E57F6AED9797}">
  <ds:schemaRefs/>
</ds:datastoreItem>
</file>

<file path=customXml/itemProps3.xml><?xml version="1.0" encoding="utf-8"?>
<ds:datastoreItem xmlns:ds="http://schemas.openxmlformats.org/officeDocument/2006/customXml" ds:itemID="{86510D19-C068-431D-BDEC-6D9997A31E5E}">
  <ds:schemaRefs/>
</ds:datastoreItem>
</file>

<file path=customXml/itemProps4.xml><?xml version="1.0" encoding="utf-8"?>
<ds:datastoreItem xmlns:ds="http://schemas.openxmlformats.org/officeDocument/2006/customXml" ds:itemID="{2F0476FD-2262-41ED-A214-9DD57212A9B9}">
  <ds:schemaRefs/>
</ds:datastoreItem>
</file>

<file path=customXml/itemProps5.xml><?xml version="1.0" encoding="utf-8"?>
<ds:datastoreItem xmlns:ds="http://schemas.openxmlformats.org/officeDocument/2006/customXml" ds:itemID="{3FC857FE-5CD0-4F9B-AA65-36A09003E31C}">
  <ds:schemaRefs/>
</ds:datastoreItem>
</file>

<file path=customXml/itemProps6.xml><?xml version="1.0" encoding="utf-8"?>
<ds:datastoreItem xmlns:ds="http://schemas.openxmlformats.org/officeDocument/2006/customXml" ds:itemID="{FD33230C-9DD0-40A3-9DAE-18B098393FF3}">
  <ds:schemaRefs/>
</ds:datastoreItem>
</file>

<file path=customXml/itemProps7.xml><?xml version="1.0" encoding="utf-8"?>
<ds:datastoreItem xmlns:ds="http://schemas.openxmlformats.org/officeDocument/2006/customXml" ds:itemID="{A56FCB96-19AE-4A86-863E-B2F1DCA20AAA}">
  <ds:schemaRefs/>
</ds:datastoreItem>
</file>

<file path=customXml/itemProps8.xml><?xml version="1.0" encoding="utf-8"?>
<ds:datastoreItem xmlns:ds="http://schemas.openxmlformats.org/officeDocument/2006/customXml" ds:itemID="{AE602294-B8F7-4D61-8CD5-66B6AD649C60}">
  <ds:schemaRefs/>
</ds:datastoreItem>
</file>

<file path=customXml/itemProps9.xml><?xml version="1.0" encoding="utf-8"?>
<ds:datastoreItem xmlns:ds="http://schemas.openxmlformats.org/officeDocument/2006/customXml" ds:itemID="{B07965D2-A8CF-4CBB-8E02-C1630EB3EF6E}">
  <ds:schemaRefs>
    <ds:schemaRef ds:uri="http://schemas.microsoft.com/DataMashup"/>
  </ds:schemaRefs>
</ds:datastoreItem>
</file>

<file path=customXml/itemProps10.xml><?xml version="1.0" encoding="utf-8"?>
<ds:datastoreItem xmlns:ds="http://schemas.openxmlformats.org/officeDocument/2006/customXml" ds:itemID="{A28C101C-FAE0-4ABB-8C8A-9D176BF81809}">
  <ds:schemaRefs/>
</ds:datastoreItem>
</file>

<file path=customXml/itemProps11.xml><?xml version="1.0" encoding="utf-8"?>
<ds:datastoreItem xmlns:ds="http://schemas.openxmlformats.org/officeDocument/2006/customXml" ds:itemID="{DC41EEE8-66C1-48E4-999F-CEFA3E87042C}">
  <ds:schemaRefs/>
</ds:datastoreItem>
</file>

<file path=customXml/itemProps12.xml><?xml version="1.0" encoding="utf-8"?>
<ds:datastoreItem xmlns:ds="http://schemas.openxmlformats.org/officeDocument/2006/customXml" ds:itemID="{3C2FE7FD-F832-48B3-B763-3B78F90C2BCC}">
  <ds:schemaRefs/>
</ds:datastoreItem>
</file>

<file path=customXml/itemProps13.xml><?xml version="1.0" encoding="utf-8"?>
<ds:datastoreItem xmlns:ds="http://schemas.openxmlformats.org/officeDocument/2006/customXml" ds:itemID="{77D4AB0C-26CD-48F0-BB75-1D40CBADB1E3}">
  <ds:schemaRefs/>
</ds:datastoreItem>
</file>

<file path=customXml/itemProps14.xml><?xml version="1.0" encoding="utf-8"?>
<ds:datastoreItem xmlns:ds="http://schemas.openxmlformats.org/officeDocument/2006/customXml" ds:itemID="{05AE222D-5528-42B5-9E40-939ECE6FA7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Analysis_Pivots</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Enoch Micah</dc:creator>
  <cp:lastModifiedBy>Enoch Micah</cp:lastModifiedBy>
  <dcterms:created xsi:type="dcterms:W3CDTF">2026-09-20T20:21:23Z</dcterms:created>
  <dcterms:modified xsi:type="dcterms:W3CDTF">2026-09-21T08:47:12Z</dcterms:modified>
</cp:coreProperties>
</file>